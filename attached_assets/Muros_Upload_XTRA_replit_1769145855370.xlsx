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Desktop\MUROS.MX Ricardo\muros.mx\"/>
    </mc:Choice>
  </mc:AlternateContent>
  <xr:revisionPtr revIDLastSave="0" documentId="8_{619B51BA-F1EF-4956-AA56-B6A096AD3925}" xr6:coauthVersionLast="47" xr6:coauthVersionMax="47" xr10:uidLastSave="{00000000-0000-0000-0000-000000000000}"/>
  <bookViews>
    <workbookView xWindow="28680" yWindow="-120" windowWidth="29040" windowHeight="15720" tabRatio="816" firstSheet="5" activeTab="8" xr2:uid="{F0E712BF-1DDA-45F7-948F-C75E7D453BAA}"/>
  </bookViews>
  <sheets>
    <sheet name="DESARROLLADOR" sheetId="21" r:id="rId1"/>
    <sheet name="DESARROLLOS" sheetId="9" r:id="rId2"/>
    <sheet name="TIPOLOGIAS" sheetId="11" state="hidden" r:id="rId3"/>
    <sheet name="DESARROLLOS (2)" sheetId="16" state="hidden" r:id="rId4"/>
    <sheet name="TIPOLOGÍAS" sheetId="17" r:id="rId5"/>
    <sheet name="LANDING" sheetId="15" r:id="rId6"/>
    <sheet name="PROSPECTOS" sheetId="12" r:id="rId7"/>
    <sheet name="DOCUMENTOS" sheetId="22" r:id="rId8"/>
    <sheet name="VISTAS Y USUARIOS" sheetId="14" r:id="rId9"/>
    <sheet name="ABAJO en la LANDING" sheetId="18" r:id="rId10"/>
    <sheet name="Con Prom." sheetId="19" r:id="rId11"/>
    <sheet name="CAT Propiedades" sheetId="5" r:id="rId12"/>
    <sheet name="CAT Prospectos" sheetId="13" r:id="rId13"/>
  </sheets>
  <externalReferences>
    <externalReference r:id="rId14"/>
  </externalReferences>
  <definedNames>
    <definedName name="_xlnm._FilterDatabase" localSheetId="2" hidden="1">TIPOLOGIAS!$A$2:$CN$4</definedName>
    <definedName name="_xlnm._FilterDatabase" localSheetId="4" hidden="1">TIPOLOGÍAS!$B$2:$CO$29</definedName>
    <definedName name="_xlnm._FilterDatabase" localSheetId="8" hidden="1">'VISTAS Y USUARIOS'!$D$24:$CM$25</definedName>
    <definedName name="Z_13D93A47_B4CB_4772_9EB1_4DA9A3D608D6_.wvu.Cols" localSheetId="9" hidden="1">'ABAJO en la LANDING'!$J:$J</definedName>
    <definedName name="Z_13D93A47_B4CB_4772_9EB1_4DA9A3D608D6_.wvu.Cols" localSheetId="10" hidden="1">'Con Prom.'!$I:$I</definedName>
    <definedName name="Z_13D93A47_B4CB_4772_9EB1_4DA9A3D608D6_.wvu.FilterData" localSheetId="2" hidden="1">TIPOLOGIAS!$A$2:$CN$2</definedName>
    <definedName name="Z_13D93A47_B4CB_4772_9EB1_4DA9A3D608D6_.wvu.FilterData" localSheetId="4" hidden="1">TIPOLOGÍAS!$B$2:$CO$2</definedName>
    <definedName name="Z_13D93A47_B4CB_4772_9EB1_4DA9A3D608D6_.wvu.FilterData" localSheetId="8" hidden="1">'VISTAS Y USUARIOS'!$D$24:$CM$24</definedName>
    <definedName name="Z_13D93A47_B4CB_4772_9EB1_4DA9A3D608D6_.wvu.Rows" localSheetId="9" hidden="1">'ABAJO en la LANDING'!$29:$37</definedName>
    <definedName name="Z_8FBD04A5_416D_4DBA_B024_6C6AB31A061B_.wvu.Cols" localSheetId="9" hidden="1">'ABAJO en la LANDING'!$J:$J</definedName>
    <definedName name="Z_8FBD04A5_416D_4DBA_B024_6C6AB31A061B_.wvu.Cols" localSheetId="10" hidden="1">'Con Prom.'!$I:$I</definedName>
    <definedName name="Z_8FBD04A5_416D_4DBA_B024_6C6AB31A061B_.wvu.Cols" localSheetId="2" hidden="1">TIPOLOGIAS!$C:$E,TIPOLOGIAS!$O:$O,TIPOLOGIAS!$Q:$S,TIPOLOGIAS!$V:$V,TIPOLOGIAS!$AN:$AN,TIPOLOGIAS!$AP:$AP,TIPOLOGIAS!$AR:$AR,TIPOLOGIAS!$AT:$AX,TIPOLOGIAS!$AZ:$BB,TIPOLOGIAS!$BE:$BN,TIPOLOGIAS!$BP:$BU,TIPOLOGIAS!$BW:$CN</definedName>
    <definedName name="Z_8FBD04A5_416D_4DBA_B024_6C6AB31A061B_.wvu.Cols" localSheetId="4" hidden="1">TIPOLOGÍAS!$D:$F,TIPOLOGÍAS!$P:$P,TIPOLOGÍAS!$R:$T,TIPOLOGÍAS!$W:$W,TIPOLOGÍAS!$AO:$AO,TIPOLOGÍAS!$AQ:$AQ,TIPOLOGÍAS!$AS:$AS,TIPOLOGÍAS!$AU:$AY,TIPOLOGÍAS!$BA:$BC,TIPOLOGÍAS!$BF:$BO,TIPOLOGÍAS!$BQ:$BV,TIPOLOGÍAS!$BX:$CO</definedName>
    <definedName name="Z_8FBD04A5_416D_4DBA_B024_6C6AB31A061B_.wvu.Cols" localSheetId="8" hidden="1">'VISTAS Y USUARIOS'!$G:$I,'VISTAS Y USUARIOS'!$Q:$Q,'VISTAS Y USUARIOS'!$S:$T,'VISTAS Y USUARIOS'!#REF!,'VISTAS Y USUARIOS'!#REF!,'VISTAS Y USUARIOS'!$AR:$AR,'VISTAS Y USUARIOS'!$AT:$AT,'VISTAS Y USUARIOS'!$AV:$AY,'VISTAS Y USUARIOS'!$BA:$BB,'VISTAS Y USUARIOS'!$BE:$BL,'VISTAS Y USUARIOS'!$BN:$BR,'VISTAS Y USUARIOS'!$BT:$CI</definedName>
    <definedName name="Z_8FBD04A5_416D_4DBA_B024_6C6AB31A061B_.wvu.FilterData" localSheetId="2" hidden="1">TIPOLOGIAS!$A$2:$CN$2</definedName>
    <definedName name="Z_8FBD04A5_416D_4DBA_B024_6C6AB31A061B_.wvu.FilterData" localSheetId="4" hidden="1">TIPOLOGÍAS!$B$2:$CO$2</definedName>
    <definedName name="Z_8FBD04A5_416D_4DBA_B024_6C6AB31A061B_.wvu.FilterData" localSheetId="8" hidden="1">'VISTAS Y USUARIOS'!$D$24:$CM$24</definedName>
    <definedName name="Z_8FBD04A5_416D_4DBA_B024_6C6AB31A061B_.wvu.Rows" localSheetId="9" hidden="1">'ABAJO en la LANDING'!$29:$37</definedName>
  </definedNames>
  <calcPr calcId="191029"/>
  <customWorkbookViews>
    <customWorkbookView name="TODO" guid="{13D93A47-B4CB-4772-9EB1-4DA9A3D608D6}" maximized="1" xWindow="-9" yWindow="-9" windowWidth="1938" windowHeight="1038" tabRatio="816" activeSheetId="11"/>
    <customWorkbookView name="IINPUTS" guid="{8FBD04A5-416D-4DBA-B024-6C6AB31A061B}" maximized="1" xWindow="-9" yWindow="-9" windowWidth="1938" windowHeight="1038" tabRatio="816" activeSheetId="1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5" i="14" l="1"/>
  <c r="Q25" i="14"/>
  <c r="S25" i="14"/>
  <c r="BE25" i="14" s="1"/>
  <c r="AV25" i="14"/>
  <c r="AX25" i="14"/>
  <c r="AZ25" i="14" s="1"/>
  <c r="BB25" i="14"/>
  <c r="BK25" i="14"/>
  <c r="BL25" i="14"/>
  <c r="BM25" i="14"/>
  <c r="BU25" i="14" s="1"/>
  <c r="BR25" i="14"/>
  <c r="BS25" i="14"/>
  <c r="BX25" i="14"/>
  <c r="BY25" i="14"/>
  <c r="BZ25" i="14" s="1"/>
  <c r="CB25" i="14"/>
  <c r="CH25" i="14"/>
  <c r="CI25" i="14"/>
  <c r="CJ25" i="14" s="1"/>
  <c r="CK25" i="14" s="1"/>
  <c r="CL25" i="14" s="1"/>
  <c r="I2" i="21"/>
  <c r="A8" i="19"/>
  <c r="A9" i="19"/>
  <c r="B9" i="19"/>
  <c r="D9" i="19"/>
  <c r="B10" i="19"/>
  <c r="A11" i="19"/>
  <c r="B11" i="19"/>
  <c r="D11" i="19"/>
  <c r="A12" i="19"/>
  <c r="A15" i="19"/>
  <c r="B17" i="19"/>
  <c r="A19" i="19"/>
  <c r="D23" i="19"/>
  <c r="E24" i="19"/>
  <c r="A25" i="19"/>
  <c r="B25" i="19"/>
  <c r="A35" i="19"/>
  <c r="C52" i="18"/>
  <c r="C53" i="18"/>
  <c r="E53" i="18"/>
  <c r="G53" i="18"/>
  <c r="C57" i="18"/>
  <c r="D57" i="18"/>
  <c r="G57" i="18"/>
  <c r="H57" i="18"/>
  <c r="E61" i="18"/>
  <c r="F61" i="18"/>
  <c r="C65" i="18"/>
  <c r="G65" i="18"/>
  <c r="C73" i="18"/>
  <c r="D73" i="18"/>
  <c r="E73" i="18"/>
  <c r="P3" i="17"/>
  <c r="R3" i="17"/>
  <c r="S3" i="17" s="1"/>
  <c r="AQ3" i="17"/>
  <c r="D53" i="18" s="1"/>
  <c r="AS3" i="17"/>
  <c r="F53" i="18" s="1"/>
  <c r="AU3" i="17"/>
  <c r="H53" i="18" s="1"/>
  <c r="AV3" i="17"/>
  <c r="AW3" i="17"/>
  <c r="BB3" i="17"/>
  <c r="I57" i="18" s="1"/>
  <c r="BC3" i="17"/>
  <c r="E57" i="18" s="1"/>
  <c r="BI3" i="17"/>
  <c r="BJ3" i="17"/>
  <c r="BK3" i="17"/>
  <c r="CC3" i="17" s="1"/>
  <c r="I73" i="18" s="1"/>
  <c r="D77" i="18" s="1"/>
  <c r="BQ3" i="17"/>
  <c r="BU3" i="17" s="1"/>
  <c r="G69" i="18" s="1"/>
  <c r="BR3" i="17"/>
  <c r="BX3" i="17"/>
  <c r="BY3" i="17"/>
  <c r="BZ3" i="17" s="1"/>
  <c r="G73" i="18" s="1"/>
  <c r="CB3" i="17"/>
  <c r="CJ3" i="17"/>
  <c r="CK3" i="17"/>
  <c r="CL3" i="17" s="1"/>
  <c r="CM3" i="17" s="1"/>
  <c r="CN3" i="17" s="1"/>
  <c r="CO3" i="17"/>
  <c r="P4" i="17"/>
  <c r="R4" i="17"/>
  <c r="S4" i="17" s="1"/>
  <c r="AQ4" i="17"/>
  <c r="AV4" i="17" s="1"/>
  <c r="AS4" i="17"/>
  <c r="AU4" i="17"/>
  <c r="AW4" i="17"/>
  <c r="BB4" i="17"/>
  <c r="BC4" i="17"/>
  <c r="BI4" i="17"/>
  <c r="BJ4" i="17"/>
  <c r="BK4" i="17"/>
  <c r="BQ4" i="17"/>
  <c r="BR4" i="17"/>
  <c r="BX4" i="17"/>
  <c r="BY4" i="17"/>
  <c r="BZ4" i="17" s="1"/>
  <c r="CB4" i="17"/>
  <c r="CJ4" i="17"/>
  <c r="CO4" i="17" s="1"/>
  <c r="CK4" i="17"/>
  <c r="CL4" i="17" s="1"/>
  <c r="CM4" i="17" s="1"/>
  <c r="CN4" i="17" s="1"/>
  <c r="P5" i="17"/>
  <c r="R5" i="17"/>
  <c r="S5" i="17" s="1"/>
  <c r="AQ5" i="17"/>
  <c r="AS5" i="17"/>
  <c r="AV5" i="17" s="1"/>
  <c r="AU5" i="17"/>
  <c r="AW5" i="17"/>
  <c r="BB5" i="17"/>
  <c r="BC5" i="17"/>
  <c r="BI5" i="17"/>
  <c r="BJ5" i="17"/>
  <c r="BK5" i="17"/>
  <c r="BT5" i="17" s="1"/>
  <c r="BQ5" i="17"/>
  <c r="BR5" i="17"/>
  <c r="BX5" i="17"/>
  <c r="BY5" i="17"/>
  <c r="CB5" i="17"/>
  <c r="CJ5" i="17"/>
  <c r="CK5" i="17"/>
  <c r="CL5" i="17" s="1"/>
  <c r="P6" i="17"/>
  <c r="R6" i="17"/>
  <c r="S6" i="17" s="1"/>
  <c r="AQ6" i="17"/>
  <c r="AS6" i="17"/>
  <c r="AU6" i="17" s="1"/>
  <c r="AW6" i="17"/>
  <c r="BB6" i="17"/>
  <c r="BF6" i="17" s="1"/>
  <c r="BC6" i="17"/>
  <c r="BI6" i="17"/>
  <c r="BJ6" i="17"/>
  <c r="BK6" i="17"/>
  <c r="BT6" i="17" s="1"/>
  <c r="BQ6" i="17"/>
  <c r="BR6" i="17"/>
  <c r="BX6" i="17"/>
  <c r="BY6" i="17"/>
  <c r="BS6" i="17" s="1"/>
  <c r="CB6" i="17"/>
  <c r="CJ6" i="17"/>
  <c r="CK6" i="17"/>
  <c r="CL6" i="17" s="1"/>
  <c r="P7" i="17"/>
  <c r="R7" i="17"/>
  <c r="S7" i="17" s="1"/>
  <c r="AQ7" i="17"/>
  <c r="AS7" i="17"/>
  <c r="AW7" i="17"/>
  <c r="BB7" i="17"/>
  <c r="BC7" i="17"/>
  <c r="BI7" i="17"/>
  <c r="A27" i="19" s="1"/>
  <c r="BJ7" i="17"/>
  <c r="BK7" i="17"/>
  <c r="CA7" i="17" s="1"/>
  <c r="B35" i="19" s="1"/>
  <c r="B36" i="19" s="1"/>
  <c r="BQ7" i="17"/>
  <c r="B26" i="19" s="1"/>
  <c r="BR7" i="17"/>
  <c r="A26" i="19" s="1"/>
  <c r="BX7" i="17"/>
  <c r="E35" i="19" s="1"/>
  <c r="BY7" i="17"/>
  <c r="BZ7" i="17" s="1"/>
  <c r="CB7" i="17"/>
  <c r="CJ7" i="17"/>
  <c r="CK7" i="17"/>
  <c r="CL7" i="17" s="1"/>
  <c r="P8" i="17"/>
  <c r="R8" i="17"/>
  <c r="S8" i="17" s="1"/>
  <c r="AQ8" i="17"/>
  <c r="AS8" i="17"/>
  <c r="AU8" i="17" s="1"/>
  <c r="AW8" i="17"/>
  <c r="BB8" i="17"/>
  <c r="BF8" i="17" s="1"/>
  <c r="BC8" i="17"/>
  <c r="BI8" i="17"/>
  <c r="BJ8" i="17"/>
  <c r="BK8" i="17"/>
  <c r="BM8" i="17" s="1"/>
  <c r="BQ8" i="17"/>
  <c r="BR8" i="17"/>
  <c r="BS8" i="17"/>
  <c r="BX8" i="17"/>
  <c r="BY8" i="17"/>
  <c r="BZ8" i="17" s="1"/>
  <c r="CB8" i="17"/>
  <c r="CC8" i="17"/>
  <c r="CJ8" i="17"/>
  <c r="CK8" i="17"/>
  <c r="CL8" i="17" s="1"/>
  <c r="P9" i="17"/>
  <c r="R9" i="17"/>
  <c r="S9" i="17" s="1"/>
  <c r="AQ9" i="17"/>
  <c r="AS9" i="17"/>
  <c r="AU9" i="17" s="1"/>
  <c r="AW9" i="17"/>
  <c r="BB9" i="17"/>
  <c r="BC9" i="17"/>
  <c r="BI9" i="17"/>
  <c r="BJ9" i="17"/>
  <c r="BK9" i="17"/>
  <c r="BM9" i="17" s="1"/>
  <c r="BQ9" i="17"/>
  <c r="BR9" i="17"/>
  <c r="BT9" i="17"/>
  <c r="BX9" i="17"/>
  <c r="BY9" i="17"/>
  <c r="BZ9" i="17" s="1"/>
  <c r="CA9" i="17"/>
  <c r="CB9" i="17"/>
  <c r="CJ9" i="17"/>
  <c r="CK9" i="17"/>
  <c r="CL9" i="17" s="1"/>
  <c r="P10" i="17"/>
  <c r="R10" i="17"/>
  <c r="S10" i="17" s="1"/>
  <c r="AQ10" i="17"/>
  <c r="AS10" i="17"/>
  <c r="AU10" i="17" s="1"/>
  <c r="AW10" i="17"/>
  <c r="BB10" i="17"/>
  <c r="BC10" i="17"/>
  <c r="BI10" i="17"/>
  <c r="BJ10" i="17"/>
  <c r="BK10" i="17"/>
  <c r="BM10" i="17" s="1"/>
  <c r="BQ10" i="17"/>
  <c r="BR10" i="17"/>
  <c r="BX10" i="17"/>
  <c r="BY10" i="17"/>
  <c r="BZ10" i="17" s="1"/>
  <c r="CB10" i="17"/>
  <c r="CJ10" i="17"/>
  <c r="CK10" i="17"/>
  <c r="CL10" i="17" s="1"/>
  <c r="P11" i="17"/>
  <c r="R11" i="17"/>
  <c r="S11" i="17" s="1"/>
  <c r="AQ11" i="17"/>
  <c r="AS11" i="17"/>
  <c r="AU11" i="17" s="1"/>
  <c r="AW11" i="17"/>
  <c r="BB11" i="17"/>
  <c r="BC11" i="17"/>
  <c r="BI11" i="17"/>
  <c r="BJ11" i="17"/>
  <c r="BK11" i="17"/>
  <c r="BM11" i="17" s="1"/>
  <c r="BQ11" i="17"/>
  <c r="BR11" i="17"/>
  <c r="BX11" i="17"/>
  <c r="BY11" i="17"/>
  <c r="BZ11" i="17" s="1"/>
  <c r="CB11" i="17"/>
  <c r="CJ11" i="17"/>
  <c r="CO11" i="17" s="1"/>
  <c r="CK11" i="17"/>
  <c r="CL11" i="17" s="1"/>
  <c r="P12" i="17"/>
  <c r="R12" i="17"/>
  <c r="S12" i="17" s="1"/>
  <c r="AQ12" i="17"/>
  <c r="AS12" i="17"/>
  <c r="AU12" i="17" s="1"/>
  <c r="AW12" i="17"/>
  <c r="BB12" i="17"/>
  <c r="BC12" i="17"/>
  <c r="BI12" i="17"/>
  <c r="BJ12" i="17"/>
  <c r="BK12" i="17"/>
  <c r="BM12" i="17" s="1"/>
  <c r="BQ12" i="17"/>
  <c r="BR12" i="17"/>
  <c r="BX12" i="17"/>
  <c r="BY12" i="17"/>
  <c r="BZ12" i="17" s="1"/>
  <c r="CB12" i="17"/>
  <c r="CJ12" i="17"/>
  <c r="CK12" i="17"/>
  <c r="CL12" i="17" s="1"/>
  <c r="P13" i="17"/>
  <c r="R13" i="17"/>
  <c r="S13" i="17" s="1"/>
  <c r="AQ13" i="17"/>
  <c r="AS13" i="17"/>
  <c r="AU13" i="17" s="1"/>
  <c r="AW13" i="17"/>
  <c r="BB13" i="17"/>
  <c r="BF13" i="17" s="1"/>
  <c r="BC13" i="17"/>
  <c r="BI13" i="17"/>
  <c r="BJ13" i="17"/>
  <c r="BK13" i="17"/>
  <c r="BM13" i="17" s="1"/>
  <c r="BQ13" i="17"/>
  <c r="BR13" i="17"/>
  <c r="BS13" i="17"/>
  <c r="BX13" i="17"/>
  <c r="BY13" i="17"/>
  <c r="BZ13" i="17" s="1"/>
  <c r="CB13" i="17"/>
  <c r="CJ13" i="17"/>
  <c r="CO13" i="17" s="1"/>
  <c r="CK13" i="17"/>
  <c r="CL13" i="17" s="1"/>
  <c r="P14" i="17"/>
  <c r="R14" i="17"/>
  <c r="S14" i="17" s="1"/>
  <c r="AQ14" i="17"/>
  <c r="AS14" i="17"/>
  <c r="AU14" i="17" s="1"/>
  <c r="AW14" i="17"/>
  <c r="BB14" i="17"/>
  <c r="BC14" i="17"/>
  <c r="BI14" i="17"/>
  <c r="BJ14" i="17"/>
  <c r="BK14" i="17"/>
  <c r="BM14" i="17" s="1"/>
  <c r="BQ14" i="17"/>
  <c r="BR14" i="17"/>
  <c r="BS14" i="17"/>
  <c r="BX14" i="17"/>
  <c r="BY14" i="17"/>
  <c r="BZ14" i="17" s="1"/>
  <c r="CB14" i="17"/>
  <c r="CJ14" i="17"/>
  <c r="CK14" i="17"/>
  <c r="CL14" i="17" s="1"/>
  <c r="P15" i="17"/>
  <c r="R15" i="17"/>
  <c r="S15" i="17" s="1"/>
  <c r="AQ15" i="17"/>
  <c r="AS15" i="17"/>
  <c r="AU15" i="17" s="1"/>
  <c r="AW15" i="17"/>
  <c r="BB15" i="17"/>
  <c r="BC15" i="17"/>
  <c r="BI15" i="17"/>
  <c r="BJ15" i="17"/>
  <c r="BK15" i="17"/>
  <c r="BM15" i="17" s="1"/>
  <c r="BQ15" i="17"/>
  <c r="BR15" i="17"/>
  <c r="BX15" i="17"/>
  <c r="BY15" i="17"/>
  <c r="BZ15" i="17" s="1"/>
  <c r="CB15" i="17"/>
  <c r="CJ15" i="17"/>
  <c r="CK15" i="17"/>
  <c r="CL15" i="17" s="1"/>
  <c r="P16" i="17"/>
  <c r="R16" i="17"/>
  <c r="S16" i="17" s="1"/>
  <c r="AQ16" i="17"/>
  <c r="AS16" i="17"/>
  <c r="AU16" i="17" s="1"/>
  <c r="AW16" i="17"/>
  <c r="BB16" i="17"/>
  <c r="BF16" i="17" s="1"/>
  <c r="BC16" i="17"/>
  <c r="BI16" i="17"/>
  <c r="BJ16" i="17"/>
  <c r="BK16" i="17"/>
  <c r="BM16" i="17" s="1"/>
  <c r="BQ16" i="17"/>
  <c r="BR16" i="17"/>
  <c r="BX16" i="17"/>
  <c r="BY16" i="17"/>
  <c r="BZ16" i="17" s="1"/>
  <c r="CB16" i="17"/>
  <c r="CC16" i="17"/>
  <c r="CJ16" i="17"/>
  <c r="CO16" i="17" s="1"/>
  <c r="CK16" i="17"/>
  <c r="CL16" i="17" s="1"/>
  <c r="P17" i="17"/>
  <c r="R17" i="17"/>
  <c r="S17" i="17" s="1"/>
  <c r="AQ17" i="17"/>
  <c r="AS17" i="17"/>
  <c r="AU17" i="17" s="1"/>
  <c r="AW17" i="17"/>
  <c r="BB17" i="17"/>
  <c r="BC17" i="17"/>
  <c r="BI17" i="17"/>
  <c r="BJ17" i="17"/>
  <c r="BK17" i="17"/>
  <c r="BM17" i="17" s="1"/>
  <c r="BQ17" i="17"/>
  <c r="BR17" i="17"/>
  <c r="BT17" i="17"/>
  <c r="BX17" i="17"/>
  <c r="BY17" i="17"/>
  <c r="BZ17" i="17" s="1"/>
  <c r="CB17" i="17"/>
  <c r="CJ17" i="17"/>
  <c r="CK17" i="17"/>
  <c r="CL17" i="17" s="1"/>
  <c r="P18" i="17"/>
  <c r="R18" i="17"/>
  <c r="S18" i="17" s="1"/>
  <c r="AQ18" i="17"/>
  <c r="AS18" i="17"/>
  <c r="AU18" i="17" s="1"/>
  <c r="AW18" i="17"/>
  <c r="BB18" i="17"/>
  <c r="BC18" i="17"/>
  <c r="BI18" i="17"/>
  <c r="BJ18" i="17"/>
  <c r="BK18" i="17"/>
  <c r="BM18" i="17" s="1"/>
  <c r="BQ18" i="17"/>
  <c r="BS18" i="17" s="1"/>
  <c r="BR18" i="17"/>
  <c r="BX18" i="17"/>
  <c r="BY18" i="17"/>
  <c r="BZ18" i="17" s="1"/>
  <c r="CB18" i="17"/>
  <c r="CJ18" i="17"/>
  <c r="CK18" i="17"/>
  <c r="CL18" i="17" s="1"/>
  <c r="P19" i="17"/>
  <c r="R19" i="17"/>
  <c r="S19" i="17" s="1"/>
  <c r="AQ19" i="17"/>
  <c r="AS19" i="17"/>
  <c r="AU19" i="17" s="1"/>
  <c r="AW19" i="17"/>
  <c r="BB19" i="17"/>
  <c r="BC19" i="17"/>
  <c r="BI19" i="17"/>
  <c r="BJ19" i="17"/>
  <c r="BK19" i="17"/>
  <c r="BM19" i="17" s="1"/>
  <c r="BQ19" i="17"/>
  <c r="BR19" i="17"/>
  <c r="BT19" i="17"/>
  <c r="BX19" i="17"/>
  <c r="BY19" i="17"/>
  <c r="BZ19" i="17" s="1"/>
  <c r="CB19" i="17"/>
  <c r="CJ19" i="17"/>
  <c r="CK19" i="17"/>
  <c r="CL19" i="17" s="1"/>
  <c r="P20" i="17"/>
  <c r="R20" i="17"/>
  <c r="S20" i="17" s="1"/>
  <c r="AQ20" i="17"/>
  <c r="AS20" i="17"/>
  <c r="AU20" i="17" s="1"/>
  <c r="AW20" i="17"/>
  <c r="BB20" i="17"/>
  <c r="BC20" i="17"/>
  <c r="BI20" i="17"/>
  <c r="BJ20" i="17"/>
  <c r="BK20" i="17"/>
  <c r="BM20" i="17" s="1"/>
  <c r="BQ20" i="17"/>
  <c r="BR20" i="17"/>
  <c r="BS20" i="17"/>
  <c r="BX20" i="17"/>
  <c r="BY20" i="17"/>
  <c r="BZ20" i="17" s="1"/>
  <c r="CB20" i="17"/>
  <c r="CJ20" i="17"/>
  <c r="CK20" i="17"/>
  <c r="CL20" i="17" s="1"/>
  <c r="P21" i="17"/>
  <c r="R21" i="17"/>
  <c r="S21" i="17" s="1"/>
  <c r="AQ21" i="17"/>
  <c r="AS21" i="17"/>
  <c r="AU21" i="17" s="1"/>
  <c r="AW21" i="17"/>
  <c r="BB21" i="17"/>
  <c r="BF21" i="17" s="1"/>
  <c r="BC21" i="17"/>
  <c r="BI21" i="17"/>
  <c r="BJ21" i="17"/>
  <c r="BK21" i="17"/>
  <c r="BM21" i="17" s="1"/>
  <c r="BQ21" i="17"/>
  <c r="BR21" i="17"/>
  <c r="BX21" i="17"/>
  <c r="BY21" i="17"/>
  <c r="BZ21" i="17" s="1"/>
  <c r="CB21" i="17"/>
  <c r="CJ21" i="17"/>
  <c r="CK21" i="17"/>
  <c r="CL21" i="17" s="1"/>
  <c r="P22" i="17"/>
  <c r="R22" i="17"/>
  <c r="S22" i="17" s="1"/>
  <c r="AQ22" i="17"/>
  <c r="AS22" i="17"/>
  <c r="AU22" i="17" s="1"/>
  <c r="AW22" i="17"/>
  <c r="BB22" i="17"/>
  <c r="BC22" i="17"/>
  <c r="BI22" i="17"/>
  <c r="BJ22" i="17"/>
  <c r="BK22" i="17"/>
  <c r="BM22" i="17" s="1"/>
  <c r="BQ22" i="17"/>
  <c r="BR22" i="17"/>
  <c r="BT22" i="17"/>
  <c r="BX22" i="17"/>
  <c r="BY22" i="17"/>
  <c r="BZ22" i="17" s="1"/>
  <c r="CA22" i="17"/>
  <c r="CB22" i="17"/>
  <c r="CJ22" i="17"/>
  <c r="CO22" i="17" s="1"/>
  <c r="CK22" i="17"/>
  <c r="CL22" i="17" s="1"/>
  <c r="P23" i="17"/>
  <c r="R23" i="17"/>
  <c r="S23" i="17" s="1"/>
  <c r="AQ23" i="17"/>
  <c r="AS23" i="17"/>
  <c r="AU23" i="17" s="1"/>
  <c r="AW23" i="17"/>
  <c r="BB23" i="17"/>
  <c r="BC23" i="17"/>
  <c r="BI23" i="17"/>
  <c r="BJ23" i="17"/>
  <c r="BK23" i="17"/>
  <c r="BM23" i="17" s="1"/>
  <c r="BQ23" i="17"/>
  <c r="BS23" i="17" s="1"/>
  <c r="BR23" i="17"/>
  <c r="BX23" i="17"/>
  <c r="BY23" i="17"/>
  <c r="BZ23" i="17" s="1"/>
  <c r="CB23" i="17"/>
  <c r="CJ23" i="17"/>
  <c r="CK23" i="17"/>
  <c r="CL23" i="17" s="1"/>
  <c r="P24" i="17"/>
  <c r="R24" i="17"/>
  <c r="S24" i="17" s="1"/>
  <c r="AQ24" i="17"/>
  <c r="AS24" i="17"/>
  <c r="AU24" i="17" s="1"/>
  <c r="AW24" i="17"/>
  <c r="BB24" i="17"/>
  <c r="BF24" i="17" s="1"/>
  <c r="BC24" i="17"/>
  <c r="BI24" i="17"/>
  <c r="BJ24" i="17"/>
  <c r="BK24" i="17"/>
  <c r="BM24" i="17" s="1"/>
  <c r="BQ24" i="17"/>
  <c r="BR24" i="17"/>
  <c r="BT24" i="17"/>
  <c r="BX24" i="17"/>
  <c r="BY24" i="17"/>
  <c r="BZ24" i="17" s="1"/>
  <c r="CB24" i="17"/>
  <c r="CJ24" i="17"/>
  <c r="CK24" i="17"/>
  <c r="CL24" i="17" s="1"/>
  <c r="P25" i="17"/>
  <c r="R25" i="17"/>
  <c r="S25" i="17" s="1"/>
  <c r="AQ25" i="17"/>
  <c r="AS25" i="17"/>
  <c r="AU25" i="17" s="1"/>
  <c r="AW25" i="17"/>
  <c r="BB25" i="17"/>
  <c r="BC25" i="17"/>
  <c r="BI25" i="17"/>
  <c r="BJ25" i="17"/>
  <c r="BK25" i="17"/>
  <c r="BM25" i="17" s="1"/>
  <c r="BQ25" i="17"/>
  <c r="BR25" i="17"/>
  <c r="BS25" i="17"/>
  <c r="BX25" i="17"/>
  <c r="BY25" i="17"/>
  <c r="BZ25" i="17" s="1"/>
  <c r="CB25" i="17"/>
  <c r="CJ25" i="17"/>
  <c r="CK25" i="17"/>
  <c r="CL25" i="17" s="1"/>
  <c r="P26" i="17"/>
  <c r="R26" i="17"/>
  <c r="S26" i="17" s="1"/>
  <c r="AQ26" i="17"/>
  <c r="AS26" i="17"/>
  <c r="AU26" i="17" s="1"/>
  <c r="AW26" i="17"/>
  <c r="BB26" i="17"/>
  <c r="BC26" i="17"/>
  <c r="BI26" i="17"/>
  <c r="BJ26" i="17"/>
  <c r="BK26" i="17"/>
  <c r="BM26" i="17" s="1"/>
  <c r="BQ26" i="17"/>
  <c r="BR26" i="17"/>
  <c r="BX26" i="17"/>
  <c r="BY26" i="17"/>
  <c r="BZ26" i="17" s="1"/>
  <c r="CB26" i="17"/>
  <c r="CC26" i="17"/>
  <c r="CJ26" i="17"/>
  <c r="CO26" i="17" s="1"/>
  <c r="CK26" i="17"/>
  <c r="CL26" i="17" s="1"/>
  <c r="P27" i="17"/>
  <c r="R27" i="17"/>
  <c r="S27" i="17" s="1"/>
  <c r="AQ27" i="17"/>
  <c r="AS27" i="17"/>
  <c r="AU27" i="17" s="1"/>
  <c r="AW27" i="17"/>
  <c r="BB27" i="17"/>
  <c r="BC27" i="17"/>
  <c r="BI27" i="17"/>
  <c r="BJ27" i="17"/>
  <c r="BK27" i="17"/>
  <c r="BM27" i="17" s="1"/>
  <c r="BQ27" i="17"/>
  <c r="BR27" i="17"/>
  <c r="BT27" i="17"/>
  <c r="BX27" i="17"/>
  <c r="BY27" i="17"/>
  <c r="BZ27" i="17" s="1"/>
  <c r="CB27" i="17"/>
  <c r="CC27" i="17"/>
  <c r="CJ27" i="17"/>
  <c r="CK27" i="17"/>
  <c r="CL27" i="17" s="1"/>
  <c r="P28" i="17"/>
  <c r="R28" i="17"/>
  <c r="S28" i="17" s="1"/>
  <c r="AQ28" i="17"/>
  <c r="AS28" i="17"/>
  <c r="AU28" i="17" s="1"/>
  <c r="AW28" i="17"/>
  <c r="BB28" i="17"/>
  <c r="BC28" i="17"/>
  <c r="BI28" i="17"/>
  <c r="BJ28" i="17"/>
  <c r="BK28" i="17"/>
  <c r="BM28" i="17" s="1"/>
  <c r="BQ28" i="17"/>
  <c r="BR28" i="17"/>
  <c r="BX28" i="17"/>
  <c r="BY28" i="17"/>
  <c r="BZ28" i="17" s="1"/>
  <c r="CB28" i="17"/>
  <c r="CJ28" i="17"/>
  <c r="CK28" i="17"/>
  <c r="CL28" i="17" s="1"/>
  <c r="P29" i="17"/>
  <c r="R29" i="17"/>
  <c r="S29" i="17" s="1"/>
  <c r="AQ29" i="17"/>
  <c r="AS29" i="17"/>
  <c r="AU29" i="17" s="1"/>
  <c r="AW29" i="17"/>
  <c r="BB29" i="17"/>
  <c r="BF29" i="17" s="1"/>
  <c r="BC29" i="17"/>
  <c r="BI29" i="17"/>
  <c r="BJ29" i="17"/>
  <c r="BK29" i="17"/>
  <c r="BM29" i="17" s="1"/>
  <c r="BQ29" i="17"/>
  <c r="BR29" i="17"/>
  <c r="BX29" i="17"/>
  <c r="BY29" i="17"/>
  <c r="BZ29" i="17" s="1"/>
  <c r="CB29" i="17"/>
  <c r="CC29" i="17"/>
  <c r="CJ29" i="17"/>
  <c r="CO29" i="17" s="1"/>
  <c r="CK29" i="17"/>
  <c r="CL29" i="17" s="1"/>
  <c r="BA25" i="14" l="1"/>
  <c r="BO25" i="14"/>
  <c r="CM25" i="14"/>
  <c r="BF25" i="14"/>
  <c r="BI25" i="14" s="1"/>
  <c r="T25" i="14"/>
  <c r="CA25" i="14"/>
  <c r="BV25" i="14"/>
  <c r="BC25" i="14"/>
  <c r="BJ25" i="14" s="1"/>
  <c r="BT25" i="14"/>
  <c r="CC25" i="14"/>
  <c r="CC11" i="17"/>
  <c r="D33" i="19"/>
  <c r="CO28" i="17"/>
  <c r="BS27" i="17"/>
  <c r="CO25" i="17"/>
  <c r="CO23" i="17"/>
  <c r="CC21" i="17"/>
  <c r="CO18" i="17"/>
  <c r="BS17" i="17"/>
  <c r="BS15" i="17"/>
  <c r="BS12" i="17"/>
  <c r="BS10" i="17"/>
  <c r="CO8" i="17"/>
  <c r="CO5" i="17"/>
  <c r="BF4" i="17"/>
  <c r="A33" i="19"/>
  <c r="CC5" i="17"/>
  <c r="BS4" i="17"/>
  <c r="A28" i="19"/>
  <c r="CO21" i="17"/>
  <c r="BS22" i="17"/>
  <c r="BS29" i="17"/>
  <c r="CO27" i="17"/>
  <c r="CA25" i="17"/>
  <c r="BS24" i="17"/>
  <c r="CO20" i="17"/>
  <c r="BS19" i="17"/>
  <c r="CO17" i="17"/>
  <c r="CO15" i="17"/>
  <c r="BT14" i="17"/>
  <c r="CC13" i="17"/>
  <c r="CO10" i="17"/>
  <c r="BS9" i="17"/>
  <c r="CA14" i="17"/>
  <c r="B18" i="19"/>
  <c r="CC15" i="17"/>
  <c r="BT11" i="17"/>
  <c r="CC10" i="17"/>
  <c r="BF5" i="17"/>
  <c r="E26" i="19"/>
  <c r="CC23" i="17"/>
  <c r="CC18" i="17"/>
  <c r="CC22" i="17"/>
  <c r="BT16" i="17"/>
  <c r="BS28" i="17"/>
  <c r="BS26" i="17"/>
  <c r="CO24" i="17"/>
  <c r="BS21" i="17"/>
  <c r="CO19" i="17"/>
  <c r="CA17" i="17"/>
  <c r="BS16" i="17"/>
  <c r="CO14" i="17"/>
  <c r="CO12" i="17"/>
  <c r="BS11" i="17"/>
  <c r="CO9" i="17"/>
  <c r="CO7" i="17"/>
  <c r="CC4" i="17"/>
  <c r="D26" i="19"/>
  <c r="BT25" i="17"/>
  <c r="CC24" i="17"/>
  <c r="CC19" i="17"/>
  <c r="CC14" i="17"/>
  <c r="BT8" i="17"/>
  <c r="CC7" i="17"/>
  <c r="B15" i="19"/>
  <c r="B16" i="19"/>
  <c r="BF27" i="17"/>
  <c r="CA20" i="17"/>
  <c r="BF19" i="17"/>
  <c r="CA12" i="17"/>
  <c r="CA23" i="17"/>
  <c r="BF22" i="17"/>
  <c r="BF25" i="17"/>
  <c r="CA18" i="17"/>
  <c r="BF17" i="17"/>
  <c r="CA10" i="17"/>
  <c r="BF9" i="17"/>
  <c r="BT28" i="17"/>
  <c r="BF28" i="17"/>
  <c r="BT20" i="17"/>
  <c r="BT12" i="17"/>
  <c r="I65" i="18"/>
  <c r="CA24" i="17"/>
  <c r="CA16" i="17"/>
  <c r="BT15" i="17"/>
  <c r="BF15" i="17"/>
  <c r="BT7" i="17"/>
  <c r="CC6" i="17"/>
  <c r="CA27" i="17"/>
  <c r="BT26" i="17"/>
  <c r="BF26" i="17"/>
  <c r="CC25" i="17"/>
  <c r="CA19" i="17"/>
  <c r="BT18" i="17"/>
  <c r="BF18" i="17"/>
  <c r="CC17" i="17"/>
  <c r="CA11" i="17"/>
  <c r="BT10" i="17"/>
  <c r="BF10" i="17"/>
  <c r="CC9" i="17"/>
  <c r="BS7" i="17"/>
  <c r="B27" i="19" s="1"/>
  <c r="D69" i="18"/>
  <c r="BF3" i="17"/>
  <c r="CA28" i="17"/>
  <c r="BF11" i="17"/>
  <c r="E27" i="19"/>
  <c r="CA15" i="17"/>
  <c r="BF14" i="17"/>
  <c r="BZ5" i="17"/>
  <c r="BS5" i="17"/>
  <c r="BU5" i="17"/>
  <c r="I53" i="18"/>
  <c r="CA26" i="17"/>
  <c r="C69" i="18"/>
  <c r="CA29" i="17"/>
  <c r="CA21" i="17"/>
  <c r="BF20" i="17"/>
  <c r="CA13" i="17"/>
  <c r="BF12" i="17"/>
  <c r="CO6" i="17"/>
  <c r="C61" i="18"/>
  <c r="BT23" i="17"/>
  <c r="BF23" i="17"/>
  <c r="CA8" i="17"/>
  <c r="BF7" i="17"/>
  <c r="B23" i="19" s="1"/>
  <c r="BT29" i="17"/>
  <c r="CC28" i="17"/>
  <c r="BT21" i="17"/>
  <c r="CC20" i="17"/>
  <c r="BT13" i="17"/>
  <c r="CC12" i="17"/>
  <c r="AU7" i="17"/>
  <c r="A23" i="19" s="1"/>
  <c r="A16" i="19"/>
  <c r="BZ6" i="17"/>
  <c r="BU6" i="17"/>
  <c r="BS3" i="17"/>
  <c r="H65" i="18" s="1"/>
  <c r="D65" i="18"/>
  <c r="AX5" i="17"/>
  <c r="BH5" i="17" s="1"/>
  <c r="A10" i="19"/>
  <c r="BU29" i="17"/>
  <c r="BU28" i="17"/>
  <c r="BU27" i="17"/>
  <c r="BU26" i="17"/>
  <c r="BU25" i="17"/>
  <c r="BU24" i="17"/>
  <c r="BU23" i="17"/>
  <c r="BU22" i="17"/>
  <c r="BU21" i="17"/>
  <c r="BU20" i="17"/>
  <c r="BU19" i="17"/>
  <c r="BU18" i="17"/>
  <c r="BU17" i="17"/>
  <c r="BU16" i="17"/>
  <c r="BU15" i="17"/>
  <c r="BU14" i="17"/>
  <c r="BU13" i="17"/>
  <c r="BU12" i="17"/>
  <c r="BU11" i="17"/>
  <c r="BU10" i="17"/>
  <c r="BU9" i="17"/>
  <c r="BU8" i="17"/>
  <c r="BU7" i="17"/>
  <c r="BU4" i="17"/>
  <c r="C33" i="18"/>
  <c r="H77" i="18"/>
  <c r="H30" i="18"/>
  <c r="CM24" i="17"/>
  <c r="CN24" i="17" s="1"/>
  <c r="AX23" i="17"/>
  <c r="BH23" i="17" s="1"/>
  <c r="AV23" i="17"/>
  <c r="AX19" i="17"/>
  <c r="BH19" i="17" s="1"/>
  <c r="AV19" i="17"/>
  <c r="CM14" i="17"/>
  <c r="CN14" i="17" s="1"/>
  <c r="AX11" i="17"/>
  <c r="BH11" i="17" s="1"/>
  <c r="AV11" i="17"/>
  <c r="CM6" i="17"/>
  <c r="CN6" i="17" s="1"/>
  <c r="CM5" i="17"/>
  <c r="CN5" i="17" s="1"/>
  <c r="AX16" i="17"/>
  <c r="BH16" i="17" s="1"/>
  <c r="AV16" i="17"/>
  <c r="CM11" i="17"/>
  <c r="CN11" i="17" s="1"/>
  <c r="AX8" i="17"/>
  <c r="BH8" i="17" s="1"/>
  <c r="AV8" i="17"/>
  <c r="CM26" i="17"/>
  <c r="CN26" i="17" s="1"/>
  <c r="CM22" i="17"/>
  <c r="CN22" i="17" s="1"/>
  <c r="AX21" i="17"/>
  <c r="BH21" i="17" s="1"/>
  <c r="AV21" i="17"/>
  <c r="AX6" i="17"/>
  <c r="BH6" i="17" s="1"/>
  <c r="CM17" i="17"/>
  <c r="CN17" i="17" s="1"/>
  <c r="AX14" i="17"/>
  <c r="BH14" i="17" s="1"/>
  <c r="AV14" i="17"/>
  <c r="CM9" i="17"/>
  <c r="CN9" i="17" s="1"/>
  <c r="AX28" i="17"/>
  <c r="BH28" i="17" s="1"/>
  <c r="AV28" i="17"/>
  <c r="AX24" i="17"/>
  <c r="BH24" i="17" s="1"/>
  <c r="AV24" i="17"/>
  <c r="AX20" i="17"/>
  <c r="BH20" i="17" s="1"/>
  <c r="AV20" i="17"/>
  <c r="AX18" i="17"/>
  <c r="BH18" i="17" s="1"/>
  <c r="AV18" i="17"/>
  <c r="CM13" i="17"/>
  <c r="CN13" i="17" s="1"/>
  <c r="AX10" i="17"/>
  <c r="BH10" i="17" s="1"/>
  <c r="AV10" i="17"/>
  <c r="AX29" i="17"/>
  <c r="BH29" i="17" s="1"/>
  <c r="AV29" i="17"/>
  <c r="AX25" i="17"/>
  <c r="BH25" i="17" s="1"/>
  <c r="AV25" i="17"/>
  <c r="CM18" i="17"/>
  <c r="CN18" i="17" s="1"/>
  <c r="AX15" i="17"/>
  <c r="BH15" i="17" s="1"/>
  <c r="AV15" i="17"/>
  <c r="CM10" i="17"/>
  <c r="CN10" i="17" s="1"/>
  <c r="AV7" i="17"/>
  <c r="CM29" i="17"/>
  <c r="CN29" i="17" s="1"/>
  <c r="CM25" i="17"/>
  <c r="CN25" i="17" s="1"/>
  <c r="CM21" i="17"/>
  <c r="CN21" i="17" s="1"/>
  <c r="CM16" i="17"/>
  <c r="CN16" i="17" s="1"/>
  <c r="AX13" i="17"/>
  <c r="BH13" i="17" s="1"/>
  <c r="AV13" i="17"/>
  <c r="CM8" i="17"/>
  <c r="CN8" i="17" s="1"/>
  <c r="CM15" i="17"/>
  <c r="CN15" i="17" s="1"/>
  <c r="AX12" i="17"/>
  <c r="BH12" i="17" s="1"/>
  <c r="AV12" i="17"/>
  <c r="CM7" i="17"/>
  <c r="CN7" i="17" s="1"/>
  <c r="CM28" i="17"/>
  <c r="CN28" i="17" s="1"/>
  <c r="AX27" i="17"/>
  <c r="BH27" i="17" s="1"/>
  <c r="AV27" i="17"/>
  <c r="CM20" i="17"/>
  <c r="CN20" i="17" s="1"/>
  <c r="CM27" i="17"/>
  <c r="CN27" i="17" s="1"/>
  <c r="AX26" i="17"/>
  <c r="BH26" i="17" s="1"/>
  <c r="AV26" i="17"/>
  <c r="CM23" i="17"/>
  <c r="CN23" i="17" s="1"/>
  <c r="AX22" i="17"/>
  <c r="BH22" i="17" s="1"/>
  <c r="AV22" i="17"/>
  <c r="CM19" i="17"/>
  <c r="CN19" i="17" s="1"/>
  <c r="AX17" i="17"/>
  <c r="BH17" i="17" s="1"/>
  <c r="AV17" i="17"/>
  <c r="CM12" i="17"/>
  <c r="CN12" i="17" s="1"/>
  <c r="AX9" i="17"/>
  <c r="BH9" i="17" s="1"/>
  <c r="AV9" i="17"/>
  <c r="BM4" i="17"/>
  <c r="CA4" i="17"/>
  <c r="BM6" i="17"/>
  <c r="CA6" i="17"/>
  <c r="AV6" i="17"/>
  <c r="AX3" i="17"/>
  <c r="BL3" i="17" s="1"/>
  <c r="C36" i="18" s="1"/>
  <c r="BM3" i="17"/>
  <c r="CA3" i="17"/>
  <c r="BM5" i="17"/>
  <c r="CA5" i="17"/>
  <c r="BM7" i="17"/>
  <c r="BL6" i="17"/>
  <c r="BN6" i="17" s="1"/>
  <c r="AX4" i="17"/>
  <c r="BH4" i="17" s="1"/>
  <c r="BT3" i="17"/>
  <c r="BL15" i="17"/>
  <c r="BN15" i="17" s="1"/>
  <c r="BL12" i="17"/>
  <c r="BN12" i="17" s="1"/>
  <c r="BL11" i="17"/>
  <c r="BN11" i="17" s="1"/>
  <c r="BL8" i="17"/>
  <c r="BN8" i="17" s="1"/>
  <c r="BT4" i="17"/>
  <c r="BN25" i="14" l="1"/>
  <c r="BP25" i="14" s="1"/>
  <c r="CD25" i="14" s="1"/>
  <c r="CE25" i="14" s="1"/>
  <c r="CF25" i="14" s="1"/>
  <c r="CG25" i="14" s="1"/>
  <c r="BL20" i="17"/>
  <c r="BN20" i="17" s="1"/>
  <c r="BL29" i="17"/>
  <c r="BN29" i="17" s="1"/>
  <c r="E28" i="19"/>
  <c r="B19" i="19"/>
  <c r="B20" i="19" s="1"/>
  <c r="E33" i="19"/>
  <c r="BL24" i="17"/>
  <c r="BN24" i="17" s="1"/>
  <c r="CE24" i="17" s="1"/>
  <c r="CF24" i="17" s="1"/>
  <c r="CG24" i="17" s="1"/>
  <c r="CH24" i="17" s="1"/>
  <c r="BL13" i="17"/>
  <c r="BN13" i="17" s="1"/>
  <c r="CE13" i="17" s="1"/>
  <c r="CF13" i="17" s="1"/>
  <c r="CG13" i="17" s="1"/>
  <c r="CH13" i="17" s="1"/>
  <c r="CE6" i="17"/>
  <c r="CF6" i="17" s="1"/>
  <c r="CG6" i="17" s="1"/>
  <c r="CH6" i="17" s="1"/>
  <c r="BN3" i="17"/>
  <c r="CE3" i="17" s="1"/>
  <c r="CF3" i="17" s="1"/>
  <c r="CG3" i="17" s="1"/>
  <c r="CH3" i="17" s="1"/>
  <c r="G61" i="18"/>
  <c r="I61" i="18"/>
  <c r="I69" i="18" s="1"/>
  <c r="E69" i="18"/>
  <c r="BL21" i="17"/>
  <c r="BN21" i="17" s="1"/>
  <c r="CE21" i="17" s="1"/>
  <c r="CF21" i="17" s="1"/>
  <c r="CG21" i="17" s="1"/>
  <c r="CH21" i="17" s="1"/>
  <c r="BL23" i="17"/>
  <c r="BN23" i="17" s="1"/>
  <c r="BH3" i="17"/>
  <c r="D61" i="18"/>
  <c r="E23" i="19"/>
  <c r="E25" i="19" s="1"/>
  <c r="BL28" i="17"/>
  <c r="BN28" i="17" s="1"/>
  <c r="BL4" i="17"/>
  <c r="BN4" i="17" s="1"/>
  <c r="CE4" i="17" s="1"/>
  <c r="CF4" i="17" s="1"/>
  <c r="CG4" i="17" s="1"/>
  <c r="CH4" i="17" s="1"/>
  <c r="BL5" i="17"/>
  <c r="BN5" i="17" s="1"/>
  <c r="CE5" i="17" s="1"/>
  <c r="CF5" i="17" s="1"/>
  <c r="CG5" i="17" s="1"/>
  <c r="CH5" i="17" s="1"/>
  <c r="BL14" i="17"/>
  <c r="BN14" i="17" s="1"/>
  <c r="CE14" i="17" s="1"/>
  <c r="CF14" i="17" s="1"/>
  <c r="CG14" i="17" s="1"/>
  <c r="CH14" i="17" s="1"/>
  <c r="AX7" i="17"/>
  <c r="BL7" i="17" s="1"/>
  <c r="C6" i="18"/>
  <c r="CE29" i="17"/>
  <c r="CF29" i="17" s="1"/>
  <c r="CG29" i="17" s="1"/>
  <c r="CH29" i="17" s="1"/>
  <c r="BL22" i="17"/>
  <c r="BN22" i="17" s="1"/>
  <c r="CE22" i="17" s="1"/>
  <c r="CF22" i="17" s="1"/>
  <c r="CG22" i="17" s="1"/>
  <c r="CH22" i="17" s="1"/>
  <c r="CE17" i="17"/>
  <c r="CF17" i="17" s="1"/>
  <c r="CG17" i="17" s="1"/>
  <c r="CH17" i="17" s="1"/>
  <c r="CE15" i="17"/>
  <c r="CF15" i="17" s="1"/>
  <c r="CG15" i="17" s="1"/>
  <c r="CH15" i="17" s="1"/>
  <c r="CE8" i="17"/>
  <c r="CF8" i="17" s="1"/>
  <c r="CG8" i="17" s="1"/>
  <c r="CH8" i="17" s="1"/>
  <c r="CE23" i="17"/>
  <c r="CF23" i="17" s="1"/>
  <c r="CG23" i="17" s="1"/>
  <c r="CH23" i="17" s="1"/>
  <c r="BL9" i="17"/>
  <c r="BN9" i="17" s="1"/>
  <c r="BL17" i="17"/>
  <c r="BN17" i="17" s="1"/>
  <c r="BL25" i="17"/>
  <c r="BN25" i="17" s="1"/>
  <c r="CE28" i="17"/>
  <c r="CF28" i="17" s="1"/>
  <c r="CG28" i="17" s="1"/>
  <c r="CH28" i="17" s="1"/>
  <c r="CE20" i="17"/>
  <c r="CF20" i="17" s="1"/>
  <c r="CG20" i="17" s="1"/>
  <c r="CH20" i="17" s="1"/>
  <c r="CE26" i="17"/>
  <c r="CF26" i="17" s="1"/>
  <c r="CG26" i="17" s="1"/>
  <c r="CH26" i="17" s="1"/>
  <c r="BL16" i="17"/>
  <c r="BN16" i="17" s="1"/>
  <c r="CE16" i="17" s="1"/>
  <c r="CF16" i="17" s="1"/>
  <c r="CG16" i="17" s="1"/>
  <c r="CH16" i="17" s="1"/>
  <c r="BL10" i="17"/>
  <c r="BN10" i="17" s="1"/>
  <c r="CE10" i="17" s="1"/>
  <c r="CF10" i="17" s="1"/>
  <c r="CG10" i="17" s="1"/>
  <c r="CH10" i="17" s="1"/>
  <c r="BL18" i="17"/>
  <c r="BN18" i="17" s="1"/>
  <c r="CE18" i="17" s="1"/>
  <c r="CF18" i="17" s="1"/>
  <c r="CG18" i="17" s="1"/>
  <c r="CH18" i="17" s="1"/>
  <c r="BL26" i="17"/>
  <c r="BN26" i="17" s="1"/>
  <c r="CE11" i="17"/>
  <c r="CF11" i="17" s="1"/>
  <c r="CG11" i="17" s="1"/>
  <c r="CH11" i="17" s="1"/>
  <c r="BL19" i="17"/>
  <c r="BN19" i="17" s="1"/>
  <c r="CE19" i="17" s="1"/>
  <c r="CF19" i="17" s="1"/>
  <c r="CG19" i="17" s="1"/>
  <c r="CH19" i="17" s="1"/>
  <c r="BL27" i="17"/>
  <c r="BN27" i="17" s="1"/>
  <c r="CE27" i="17" s="1"/>
  <c r="CF27" i="17" s="1"/>
  <c r="CG27" i="17" s="1"/>
  <c r="CH27" i="17" s="1"/>
  <c r="CE9" i="17"/>
  <c r="CF9" i="17" s="1"/>
  <c r="CG9" i="17" s="1"/>
  <c r="CH9" i="17" s="1"/>
  <c r="CE12" i="17"/>
  <c r="CF12" i="17" s="1"/>
  <c r="CG12" i="17" s="1"/>
  <c r="CH12" i="17" s="1"/>
  <c r="CE25" i="17"/>
  <c r="CF25" i="17" s="1"/>
  <c r="CG25" i="17" s="1"/>
  <c r="CH25" i="17" s="1"/>
  <c r="D30" i="18" l="1"/>
  <c r="C22" i="18" s="1"/>
  <c r="C77" i="18"/>
  <c r="F77" i="18" s="1"/>
  <c r="I77" i="18" s="1"/>
  <c r="BN7" i="17"/>
  <c r="CE7" i="17" s="1"/>
  <c r="CF7" i="17" s="1"/>
  <c r="CG7" i="17" s="1"/>
  <c r="CH7" i="17" s="1"/>
  <c r="B24" i="19"/>
  <c r="B28" i="19" s="1"/>
  <c r="BH7" i="17"/>
  <c r="A17" i="19"/>
  <c r="A24" i="19" l="1"/>
  <c r="B29" i="19"/>
  <c r="B33" i="19"/>
  <c r="B34" i="19" l="1"/>
  <c r="B37" i="19"/>
  <c r="B38" i="19" l="1"/>
  <c r="E34" i="19"/>
  <c r="C25" i="18" l="1"/>
  <c r="C24" i="18" l="1"/>
  <c r="C23" i="18"/>
  <c r="C27" i="18" l="1"/>
  <c r="C26" i="18"/>
  <c r="C20" i="18" s="1"/>
  <c r="M4" i="11" l="1"/>
  <c r="AH4" i="9"/>
  <c r="AF4" i="9"/>
  <c r="AJ4" i="9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3" i="5"/>
  <c r="C12" i="5"/>
  <c r="C11" i="5"/>
  <c r="C10" i="5"/>
  <c r="C9" i="5"/>
  <c r="C8" i="5"/>
  <c r="C7" i="5"/>
  <c r="C6" i="5"/>
  <c r="C5" i="5"/>
  <c r="C4" i="5"/>
  <c r="C3" i="5"/>
  <c r="L4" i="11"/>
  <c r="CA3" i="11" l="1"/>
  <c r="CI4" i="11"/>
  <c r="CJ4" i="11"/>
  <c r="CK4" i="11" s="1"/>
  <c r="CL4" i="11" s="1"/>
  <c r="CM4" i="11" s="1"/>
  <c r="O3" i="11"/>
  <c r="O4" i="11"/>
  <c r="BW4" i="11" l="1"/>
  <c r="BQ4" i="11"/>
  <c r="BH4" i="11"/>
  <c r="BW3" i="11"/>
  <c r="BH3" i="11"/>
  <c r="BQ3" i="11"/>
  <c r="CA4" i="11"/>
  <c r="AV4" i="11"/>
  <c r="AV3" i="11"/>
  <c r="Q4" i="11"/>
  <c r="CN4" i="11" s="1"/>
  <c r="Q3" i="11"/>
  <c r="BI4" i="11"/>
  <c r="BJ4" i="11"/>
  <c r="BZ4" i="11" s="1"/>
  <c r="BJ3" i="11"/>
  <c r="BI3" i="11"/>
  <c r="BL4" i="11" l="1"/>
  <c r="BS4" i="11"/>
  <c r="BZ3" i="11"/>
  <c r="BL3" i="11"/>
  <c r="BS3" i="11"/>
  <c r="CJ3" i="11" l="1"/>
  <c r="CK3" i="11" s="1"/>
  <c r="CL3" i="11" l="1"/>
  <c r="BX4" i="11"/>
  <c r="CB4" i="11" s="1"/>
  <c r="BX3" i="11"/>
  <c r="CB3" i="11" s="1"/>
  <c r="CM3" i="11" l="1"/>
  <c r="BY4" i="11"/>
  <c r="BY3" i="11"/>
  <c r="CI3" i="11"/>
  <c r="AP4" i="11"/>
  <c r="AR4" i="11"/>
  <c r="BA4" i="11"/>
  <c r="BB4" i="11"/>
  <c r="BP4" i="11"/>
  <c r="BT4" i="11" s="1"/>
  <c r="BP3" i="11"/>
  <c r="BB3" i="11"/>
  <c r="BA3" i="11"/>
  <c r="AR3" i="11"/>
  <c r="AP3" i="11"/>
  <c r="BE4" i="11" l="1"/>
  <c r="BE3" i="11"/>
  <c r="AU3" i="11"/>
  <c r="AU4" i="11"/>
  <c r="BR4" i="11"/>
  <c r="BT3" i="11"/>
  <c r="AT4" i="11"/>
  <c r="AT3" i="11"/>
  <c r="CN3" i="11"/>
  <c r="R3" i="11"/>
  <c r="R4" i="11"/>
  <c r="BR3" i="11"/>
  <c r="AW3" i="11" l="1"/>
  <c r="AW4" i="11"/>
  <c r="BG3" i="11" l="1"/>
  <c r="BK3" i="11"/>
  <c r="BG4" i="11"/>
  <c r="BK4" i="11"/>
  <c r="BM3" i="11" l="1"/>
  <c r="CD3" i="11" s="1"/>
  <c r="BM4" i="11"/>
  <c r="CD4" i="11" s="1"/>
  <c r="CE4" i="11" s="1"/>
  <c r="CF4" i="11" s="1"/>
  <c r="CG4" i="11" s="1"/>
  <c r="CE3" i="11" l="1"/>
  <c r="CF3" i="11" l="1"/>
  <c r="CG3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Guillermo Ramos</author>
  </authors>
  <commentList>
    <comment ref="G2" authorId="0" shapeId="0" xr:uid="{9FCCB9DE-5253-4441-B54C-9D6720C8EE1C}">
      <text>
        <r>
          <rPr>
            <b/>
            <sz val="9"/>
            <color indexed="81"/>
            <rFont val="Tahoma"/>
            <family val="2"/>
          </rPr>
          <t>- Acta Constitutiva
- Constancia de Situación Fiscal
- Opinión de Cumplimiento
- Identificación Representante Legal
- Comprobante de Domicilio
- Otros</t>
        </r>
      </text>
    </comment>
    <comment ref="G3" authorId="0" shapeId="0" xr:uid="{CD7E1973-0AD9-4BDE-A202-123BBE3475B6}">
      <text>
        <r>
          <rPr>
            <b/>
            <sz val="9"/>
            <color indexed="81"/>
            <rFont val="Tahoma"/>
            <family val="2"/>
          </rPr>
          <t xml:space="preserve">- Currículum
- Presentación
</t>
        </r>
      </text>
    </comment>
    <comment ref="G4" authorId="0" shapeId="0" xr:uid="{91D41E5C-A355-44F9-92CE-9D354CCAA567}">
      <text>
        <r>
          <rPr>
            <b/>
            <sz val="9"/>
            <color indexed="81"/>
            <rFont val="Tahoma"/>
            <family val="2"/>
          </rPr>
          <t>Convenios y Contratos de Intermediación</t>
        </r>
      </text>
    </comment>
    <comment ref="H6" authorId="0" shapeId="0" xr:uid="{9B2D9824-6AE4-49B7-8E9A-08911F8E1C56}">
      <text>
        <r>
          <rPr>
            <b/>
            <sz val="9"/>
            <color indexed="81"/>
            <rFont val="Tahoma"/>
            <family val="2"/>
          </rPr>
          <t>- Acta Constitutiva
- Constancia de Situación Fiscal
- Opinión de Cumplimiento
- Identificación Representante Legal
- Comprobante de Domicilio
- Otros</t>
        </r>
      </text>
    </comment>
    <comment ref="H7" authorId="0" shapeId="0" xr:uid="{F45699B4-FD7F-4245-9308-7C5BDFDFC09E}">
      <text>
        <r>
          <rPr>
            <b/>
            <sz val="9"/>
            <color indexed="81"/>
            <rFont val="Tahoma"/>
            <family val="2"/>
          </rPr>
          <t>Convenios y Contratos de Intermediación</t>
        </r>
      </text>
    </comment>
    <comment ref="H8" authorId="0" shapeId="0" xr:uid="{75DBFE1A-E6F9-4E6C-B12A-94BD0CC8CB60}">
      <text>
        <r>
          <rPr>
            <b/>
            <sz val="9"/>
            <color indexed="81"/>
            <rFont val="Tahoma"/>
            <family val="2"/>
          </rPr>
          <t>- Factibilidad de Agua
- Manifiesto de Impacto Ambiental
- Factibilidad de CFE
- Otras Factibilidades
- Licencia de Uso de Suelo
- Licencia de Construcción
- Planos</t>
        </r>
      </text>
    </comment>
    <comment ref="H10" authorId="0" shapeId="0" xr:uid="{2BC321A9-9D61-4ED7-9E7B-AB2C56149F31}">
      <text>
        <r>
          <rPr>
            <b/>
            <sz val="9"/>
            <color indexed="81"/>
            <rFont val="Tahoma"/>
            <family val="2"/>
          </rPr>
          <t>- Oferta de Compra
- Contrato de Inversión
- Contrato de Promesa de Compraventa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Guillermo Ramos</author>
  </authors>
  <commentList>
    <comment ref="R8" authorId="0" shapeId="0" xr:uid="{CAAAFED8-CD9B-4D52-9854-02C039C27965}">
      <text>
        <r>
          <rPr>
            <b/>
            <sz val="9"/>
            <color indexed="81"/>
            <rFont val="Tahoma"/>
            <family val="2"/>
          </rPr>
          <t>NO Ver CONVENIOS</t>
        </r>
      </text>
    </comment>
    <comment ref="R9" authorId="0" shapeId="0" xr:uid="{81DDF9BC-0CA4-49BB-80B4-C9932DBC5064}">
      <text>
        <r>
          <rPr>
            <b/>
            <sz val="9"/>
            <color indexed="81"/>
            <rFont val="Tahoma"/>
            <family val="2"/>
          </rPr>
          <t>NO Ver CONVENIOS</t>
        </r>
      </text>
    </comment>
    <comment ref="BH18" authorId="0" shapeId="0" xr:uid="{C1AEFDE7-F4B2-4B60-AF9C-950EA01F025F}">
      <text>
        <r>
          <rPr>
            <b/>
            <sz val="9"/>
            <color indexed="81"/>
            <rFont val="Tahoma"/>
            <family val="2"/>
          </rPr>
          <t>VER Sólo CONVENIOS</t>
        </r>
      </text>
    </comment>
    <comment ref="BH19" authorId="0" shapeId="0" xr:uid="{07D7E131-AC8F-41B2-8F95-30C760DE1A1E}">
      <text>
        <r>
          <rPr>
            <b/>
            <sz val="9"/>
            <color indexed="81"/>
            <rFont val="Tahoma"/>
            <family val="2"/>
          </rPr>
          <t>SIN ver CONVENIOS</t>
        </r>
      </text>
    </comment>
  </commentList>
</comments>
</file>

<file path=xl/sharedStrings.xml><?xml version="1.0" encoding="utf-8"?>
<sst xmlns="http://schemas.openxmlformats.org/spreadsheetml/2006/main" count="2066" uniqueCount="762">
  <si>
    <t>AMENIDADES</t>
  </si>
  <si>
    <t>OTROS</t>
  </si>
  <si>
    <t>TIPO</t>
  </si>
  <si>
    <t>NIVEL</t>
  </si>
  <si>
    <t>VISTA</t>
  </si>
  <si>
    <t>FLEX</t>
  </si>
  <si>
    <t>PRECIO</t>
  </si>
  <si>
    <t>Ludoteca</t>
  </si>
  <si>
    <t>Gimnasio</t>
  </si>
  <si>
    <t>Sports Bar</t>
  </si>
  <si>
    <t>Vitapista</t>
  </si>
  <si>
    <t>Lobby exclusivo para cada torre</t>
  </si>
  <si>
    <t>COMO SE ENTREGAN</t>
  </si>
  <si>
    <t>Yoga Room</t>
  </si>
  <si>
    <t>Parque Canino</t>
  </si>
  <si>
    <t>Cancha Polivalente</t>
  </si>
  <si>
    <t>Jardin Zen</t>
  </si>
  <si>
    <t>Salon de Eventos</t>
  </si>
  <si>
    <t>Sala de Cine</t>
  </si>
  <si>
    <t>Salon de Reuniones</t>
  </si>
  <si>
    <t>Juegos Infantiles</t>
  </si>
  <si>
    <t>Salon Culnario</t>
  </si>
  <si>
    <t>Bungalows Culinarios</t>
  </si>
  <si>
    <t>Suite de invitados</t>
  </si>
  <si>
    <t>Cuarto de herramientas</t>
  </si>
  <si>
    <t>Lavanderia</t>
  </si>
  <si>
    <t>Grill Patio</t>
  </si>
  <si>
    <t>Asadores</t>
  </si>
  <si>
    <t>Palapa Techada</t>
  </si>
  <si>
    <t>Sala de Juegos</t>
  </si>
  <si>
    <t>Sala de Visitas</t>
  </si>
  <si>
    <t>Sala de Karaoke</t>
  </si>
  <si>
    <t>Jardín de Hamacas</t>
  </si>
  <si>
    <t>Cine al Aire Libre</t>
  </si>
  <si>
    <t>Centros de lavado</t>
  </si>
  <si>
    <t>Community Closet</t>
  </si>
  <si>
    <t>Sky Lounge</t>
  </si>
  <si>
    <t>Alberca</t>
  </si>
  <si>
    <t>Arenero</t>
  </si>
  <si>
    <t>Terraza</t>
  </si>
  <si>
    <t>Golfito</t>
  </si>
  <si>
    <t>Cancha de Futbol</t>
  </si>
  <si>
    <t>shoot de basura</t>
  </si>
  <si>
    <t>fogateros</t>
  </si>
  <si>
    <t>Co-work</t>
  </si>
  <si>
    <t>Reading Room</t>
  </si>
  <si>
    <t>Social Gym</t>
  </si>
  <si>
    <t>Pet Friendly</t>
  </si>
  <si>
    <t>VALOR</t>
  </si>
  <si>
    <t>Personal de Seguridad</t>
  </si>
  <si>
    <t>Video Vigilancia / CCTV</t>
  </si>
  <si>
    <t>Control de acceso vehicular</t>
  </si>
  <si>
    <t>Elevadores</t>
  </si>
  <si>
    <t>EFICIENCIA</t>
  </si>
  <si>
    <t>Zoclo</t>
  </si>
  <si>
    <t>Iluminación, Contactos y Apagadores</t>
  </si>
  <si>
    <t>Pintura</t>
  </si>
  <si>
    <t>Sanitarios</t>
  </si>
  <si>
    <t>Manerales y Cebolletas para Regaderas</t>
  </si>
  <si>
    <t>Cocina</t>
  </si>
  <si>
    <t>Canceles</t>
  </si>
  <si>
    <t>Closets</t>
  </si>
  <si>
    <t>Espectaculares vistas</t>
  </si>
  <si>
    <t>Puntos de interés</t>
  </si>
  <si>
    <t>Ubicación</t>
  </si>
  <si>
    <t>Estilo Neoyorkino</t>
  </si>
  <si>
    <t>Accesos independientes</t>
  </si>
  <si>
    <t>TIPO DE DESARROLLO</t>
  </si>
  <si>
    <t>Iconos</t>
  </si>
  <si>
    <t>DESARROLLO</t>
  </si>
  <si>
    <t>Rack de Bicicletas</t>
  </si>
  <si>
    <t>DESARROLLADOR</t>
  </si>
  <si>
    <t>TORRES</t>
  </si>
  <si>
    <t>DEPARTAMENTOS</t>
  </si>
  <si>
    <t>NIVELES</t>
  </si>
  <si>
    <t>DESDE</t>
  </si>
  <si>
    <t>HASTA</t>
  </si>
  <si>
    <t>TAMAÑOS</t>
  </si>
  <si>
    <t>RECÁMARAS</t>
  </si>
  <si>
    <t>LOCK OFF</t>
  </si>
  <si>
    <t>LOCALES</t>
  </si>
  <si>
    <t>OFICINAS</t>
  </si>
  <si>
    <t>SALUD</t>
  </si>
  <si>
    <t>TAMAÑO</t>
  </si>
  <si>
    <t>BAÑOS</t>
  </si>
  <si>
    <t>SALA</t>
  </si>
  <si>
    <t>BALCÓN</t>
  </si>
  <si>
    <t>TERRAZA</t>
  </si>
  <si>
    <t>BODEGA</t>
  </si>
  <si>
    <t>Preparaciones listas para Mini Split</t>
  </si>
  <si>
    <t>Lavanetas con Grifería</t>
  </si>
  <si>
    <t>Cielo de Plafond</t>
  </si>
  <si>
    <t>RENDERS</t>
  </si>
  <si>
    <t>Redacciones del desarrollo y su concepto, ejemplo:</t>
  </si>
  <si>
    <t>UNIDADES Y METROS CUADRADOS</t>
  </si>
  <si>
    <t>PRECIO/M2</t>
  </si>
  <si>
    <t>CIUDAD</t>
  </si>
  <si>
    <t>ZONA</t>
  </si>
  <si>
    <t>IDEI</t>
  </si>
  <si>
    <t>QUANTIUM</t>
  </si>
  <si>
    <t>AISEN</t>
  </si>
  <si>
    <t>ALTIO</t>
  </si>
  <si>
    <t>CUADRO</t>
  </si>
  <si>
    <t>CARZA</t>
  </si>
  <si>
    <t>LANDWORK</t>
  </si>
  <si>
    <t>NEST</t>
  </si>
  <si>
    <t>SI /NO</t>
  </si>
  <si>
    <t>Si</t>
  </si>
  <si>
    <t>No</t>
  </si>
  <si>
    <t>Tal Vez</t>
  </si>
  <si>
    <t>REC</t>
  </si>
  <si>
    <t>A</t>
  </si>
  <si>
    <t>Norte</t>
  </si>
  <si>
    <t>INICIAL</t>
  </si>
  <si>
    <t>MESES</t>
  </si>
  <si>
    <t>MONTO</t>
  </si>
  <si>
    <t>RESTO</t>
  </si>
  <si>
    <t>ISAI</t>
  </si>
  <si>
    <t>NOTARIO</t>
  </si>
  <si>
    <t>MANTENIMIENTO</t>
  </si>
  <si>
    <t xml:space="preserve">BONO    </t>
  </si>
  <si>
    <t>%</t>
  </si>
  <si>
    <t>PLUSVALÍA</t>
  </si>
  <si>
    <t>MONTO FINAL</t>
  </si>
  <si>
    <t>RENTA</t>
  </si>
  <si>
    <t>FINAL</t>
  </si>
  <si>
    <t>AÑOS</t>
  </si>
  <si>
    <t>TOTAL</t>
  </si>
  <si>
    <t>DISTRIBUCIÓN</t>
  </si>
  <si>
    <t>ENTREGA</t>
  </si>
  <si>
    <t>PRECIO FINAL</t>
  </si>
  <si>
    <t>DÍAS</t>
  </si>
  <si>
    <t xml:space="preserve"> LOGO Y NOMBRE?</t>
  </si>
  <si>
    <t>ZONA 1</t>
  </si>
  <si>
    <t>ZONA 2</t>
  </si>
  <si>
    <t>INVERSIÓN</t>
  </si>
  <si>
    <t>FECHA</t>
  </si>
  <si>
    <t>ZONA 3</t>
  </si>
  <si>
    <t>Sur</t>
  </si>
  <si>
    <t>B</t>
  </si>
  <si>
    <t>CRÉDITO HIPOTECARIO</t>
  </si>
  <si>
    <t>CRÉDITO AÑOS</t>
  </si>
  <si>
    <t>MENS.</t>
  </si>
  <si>
    <t>ESQUEMA DE PAGO</t>
  </si>
  <si>
    <t>SERV.</t>
  </si>
  <si>
    <t>PROMO</t>
  </si>
  <si>
    <t>TASA</t>
  </si>
  <si>
    <t>GENERALES</t>
  </si>
  <si>
    <t>GASTOS DESPUÉS DE LA ENTREGA</t>
  </si>
  <si>
    <t>M2</t>
  </si>
  <si>
    <t>EN PLAZO</t>
  </si>
  <si>
    <t>TOT. ENG.</t>
  </si>
  <si>
    <t>TERMINA</t>
  </si>
  <si>
    <t>INICIA</t>
  </si>
  <si>
    <t>NETA</t>
  </si>
  <si>
    <t>MUEBLES</t>
  </si>
  <si>
    <t>EQUIPO</t>
  </si>
  <si>
    <t>MENSUAL</t>
  </si>
  <si>
    <t>DESARROLLADORES</t>
  </si>
  <si>
    <t>CIUDADES</t>
  </si>
  <si>
    <t>Monterrey</t>
  </si>
  <si>
    <t>Centro</t>
  </si>
  <si>
    <t>Valle Poniente</t>
  </si>
  <si>
    <t>Valle</t>
  </si>
  <si>
    <t>Valle Oriente</t>
  </si>
  <si>
    <t>San José Tec</t>
  </si>
  <si>
    <t>Fundidora</t>
  </si>
  <si>
    <t>Morones</t>
  </si>
  <si>
    <t>Constitución</t>
  </si>
  <si>
    <t>Carretera</t>
  </si>
  <si>
    <t>Guadalupe</t>
  </si>
  <si>
    <t>Obispado</t>
  </si>
  <si>
    <t>Cumbres</t>
  </si>
  <si>
    <t>Novus</t>
  </si>
  <si>
    <t>Avalon</t>
  </si>
  <si>
    <t>Arena Fundidora</t>
  </si>
  <si>
    <t>Arena Calzada</t>
  </si>
  <si>
    <t>Lalo</t>
  </si>
  <si>
    <t>Lola</t>
  </si>
  <si>
    <t>Moca Azul</t>
  </si>
  <si>
    <t>Moca Verde</t>
  </si>
  <si>
    <t>Colonia</t>
  </si>
  <si>
    <t>Nogales</t>
  </si>
  <si>
    <t>Mun</t>
  </si>
  <si>
    <t>Rise</t>
  </si>
  <si>
    <t>Santa Maria</t>
  </si>
  <si>
    <t xml:space="preserve">Sierra Madre y Huasteca </t>
  </si>
  <si>
    <t>Akira</t>
  </si>
  <si>
    <t>NEUBEN</t>
  </si>
  <si>
    <t>-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</si>
  <si>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</si>
  <si>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</si>
  <si>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</si>
  <si>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</si>
  <si>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</si>
  <si>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</si>
  <si>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</si>
  <si>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</si>
  <si>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</si>
  <si>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</si>
  <si>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</si>
  <si>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</si>
  <si>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</si>
  <si>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</si>
  <si>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</si>
  <si>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</si>
  <si>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</si>
  <si>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</si>
  <si>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</si>
  <si>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</si>
  <si>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</si>
  <si>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</si>
  <si>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</si>
  <si>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</si>
  <si>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</si>
  <si>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</si>
  <si>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</si>
  <si>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</si>
  <si>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</si>
  <si>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</si>
  <si>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</si>
  <si>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C.5</t>
  </si>
  <si>
    <t>C.6</t>
  </si>
  <si>
    <t>C.7</t>
  </si>
  <si>
    <t>C.8</t>
  </si>
  <si>
    <t>C.9</t>
  </si>
  <si>
    <t>C.10</t>
  </si>
  <si>
    <t>BIRLOK</t>
  </si>
  <si>
    <t>CAPITEL</t>
  </si>
  <si>
    <t>CREARE</t>
  </si>
  <si>
    <t>DELTA</t>
  </si>
  <si>
    <t>KOINOX</t>
  </si>
  <si>
    <t>VALO</t>
  </si>
  <si>
    <t>PISSA</t>
  </si>
  <si>
    <t>TROY</t>
  </si>
  <si>
    <t>Alika</t>
  </si>
  <si>
    <t>Livita 20</t>
  </si>
  <si>
    <t>The Village</t>
  </si>
  <si>
    <t>Altana</t>
  </si>
  <si>
    <t>Cantera</t>
  </si>
  <si>
    <t>Aldea Sur</t>
  </si>
  <si>
    <t>Distrito Domo</t>
  </si>
  <si>
    <t>Las Fridas</t>
  </si>
  <si>
    <t>Via Cordillera</t>
  </si>
  <si>
    <t>Lativ</t>
  </si>
  <si>
    <t>Saqqara</t>
  </si>
  <si>
    <t>Constella</t>
  </si>
  <si>
    <t>Aluna</t>
  </si>
  <si>
    <t>Midtown</t>
  </si>
  <si>
    <t>Top</t>
  </si>
  <si>
    <t>West</t>
  </si>
  <si>
    <t>F1rst</t>
  </si>
  <si>
    <t>Barrio W</t>
  </si>
  <si>
    <t>Sohl</t>
  </si>
  <si>
    <t>Moca Amarillo</t>
  </si>
  <si>
    <t>Moca Naranja</t>
  </si>
  <si>
    <t>Alejandría</t>
  </si>
  <si>
    <t>Alaia</t>
  </si>
  <si>
    <t>Gaia</t>
  </si>
  <si>
    <t>_C3CO</t>
  </si>
  <si>
    <t>PROYECTOS9</t>
  </si>
  <si>
    <t>Montevo</t>
  </si>
  <si>
    <t>z51</t>
  </si>
  <si>
    <t>z61</t>
  </si>
  <si>
    <t>z71</t>
  </si>
  <si>
    <t>z81</t>
  </si>
  <si>
    <t>z91</t>
  </si>
  <si>
    <t>z101</t>
  </si>
  <si>
    <t>z52</t>
  </si>
  <si>
    <t>z62</t>
  </si>
  <si>
    <t>z72</t>
  </si>
  <si>
    <t>z82</t>
  </si>
  <si>
    <t>z92</t>
  </si>
  <si>
    <t>z102</t>
  </si>
  <si>
    <t>z53</t>
  </si>
  <si>
    <t>z63</t>
  </si>
  <si>
    <t>z73</t>
  </si>
  <si>
    <t>z83</t>
  </si>
  <si>
    <t>z93</t>
  </si>
  <si>
    <t>z103</t>
  </si>
  <si>
    <t>z54</t>
  </si>
  <si>
    <t>z64</t>
  </si>
  <si>
    <t>z74</t>
  </si>
  <si>
    <t>z84</t>
  </si>
  <si>
    <t>z94</t>
  </si>
  <si>
    <t>z104</t>
  </si>
  <si>
    <t>z55</t>
  </si>
  <si>
    <t>z65</t>
  </si>
  <si>
    <t>z75</t>
  </si>
  <si>
    <t>z85</t>
  </si>
  <si>
    <t>z95</t>
  </si>
  <si>
    <t>z105</t>
  </si>
  <si>
    <t>z56</t>
  </si>
  <si>
    <t>z66</t>
  </si>
  <si>
    <t>z76</t>
  </si>
  <si>
    <t>z86</t>
  </si>
  <si>
    <t>z96</t>
  </si>
  <si>
    <t>z106</t>
  </si>
  <si>
    <t>z57</t>
  </si>
  <si>
    <t>z67</t>
  </si>
  <si>
    <t>z77</t>
  </si>
  <si>
    <t>z87</t>
  </si>
  <si>
    <t>z97</t>
  </si>
  <si>
    <t>z107</t>
  </si>
  <si>
    <t>z58</t>
  </si>
  <si>
    <t>z68</t>
  </si>
  <si>
    <t>z78</t>
  </si>
  <si>
    <t>z88</t>
  </si>
  <si>
    <t>z98</t>
  </si>
  <si>
    <t>z108</t>
  </si>
  <si>
    <t>z59</t>
  </si>
  <si>
    <t>z69</t>
  </si>
  <si>
    <t>z79</t>
  </si>
  <si>
    <t>z89</t>
  </si>
  <si>
    <t>z99</t>
  </si>
  <si>
    <t>z109</t>
  </si>
  <si>
    <t>z60</t>
  </si>
  <si>
    <t>z70</t>
  </si>
  <si>
    <t>z80</t>
  </si>
  <si>
    <t>z90</t>
  </si>
  <si>
    <t>z100</t>
  </si>
  <si>
    <t>z110</t>
  </si>
  <si>
    <t>Aria</t>
  </si>
  <si>
    <t>EXTRA</t>
  </si>
  <si>
    <t>INICIO PREVENTA</t>
  </si>
  <si>
    <t>TIEMPO TRANSCURR.</t>
  </si>
  <si>
    <t>TIEMPO TRANSUCRR.</t>
  </si>
  <si>
    <t>UNIDADES VENDIDAS</t>
  </si>
  <si>
    <t>PORC.</t>
  </si>
  <si>
    <t>Saltillo</t>
  </si>
  <si>
    <t>Guadalajara</t>
  </si>
  <si>
    <t>CDMX</t>
  </si>
  <si>
    <t>AAA</t>
  </si>
  <si>
    <t>BBB</t>
  </si>
  <si>
    <t>CCC</t>
  </si>
  <si>
    <t>DDD</t>
  </si>
  <si>
    <t>EEE</t>
  </si>
  <si>
    <t>FFF</t>
  </si>
  <si>
    <t>* Se registra automático</t>
  </si>
  <si>
    <t>Si llega por landing, sólo el ADMIN puede modificarlo</t>
  </si>
  <si>
    <t>Alerta si algun prospecto esta repetido</t>
  </si>
  <si>
    <t>ASESOR</t>
  </si>
  <si>
    <t>PROFILER</t>
  </si>
  <si>
    <t>LANDING</t>
  </si>
  <si>
    <t>ADMIN</t>
  </si>
  <si>
    <t>FILTRAR</t>
  </si>
  <si>
    <t>STATUS</t>
  </si>
  <si>
    <t>TODO</t>
  </si>
  <si>
    <t>PUEDE MODIFICAR</t>
  </si>
  <si>
    <t>PERFILES</t>
  </si>
  <si>
    <t xml:space="preserve"> </t>
  </si>
  <si>
    <t>*</t>
  </si>
  <si>
    <t>Cat e Input</t>
  </si>
  <si>
    <t>COMENTARIOS</t>
  </si>
  <si>
    <t>NEGATIVOS</t>
  </si>
  <si>
    <t>POSITIVOS</t>
  </si>
  <si>
    <t>COMO PAGA</t>
  </si>
  <si>
    <t>EMBUDO</t>
  </si>
  <si>
    <t>ESTATUS</t>
  </si>
  <si>
    <t>BROKER EXTERNO</t>
  </si>
  <si>
    <t>CÓMO LLEGA</t>
  </si>
  <si>
    <t>CORREO</t>
  </si>
  <si>
    <t>TELEFONO</t>
  </si>
  <si>
    <t>APELLIDO</t>
  </si>
  <si>
    <t>NOMBRE</t>
  </si>
  <si>
    <t>TIPOLOGÍA</t>
  </si>
  <si>
    <t>HORA</t>
  </si>
  <si>
    <t>TWITTER</t>
  </si>
  <si>
    <t>TIK TOK</t>
  </si>
  <si>
    <t>LINKEDIN</t>
  </si>
  <si>
    <t>GOOGLE ADS</t>
  </si>
  <si>
    <t>RÓTULO</t>
  </si>
  <si>
    <t>FLYER</t>
  </si>
  <si>
    <t>PERIÓDICO</t>
  </si>
  <si>
    <t>BASE DE DATOS</t>
  </si>
  <si>
    <t>CONOCIDO DE ASESOR</t>
  </si>
  <si>
    <t>LEAD PASADO</t>
  </si>
  <si>
    <t>TIEMPO DE ENTREGA</t>
  </si>
  <si>
    <t>REFERIDO</t>
  </si>
  <si>
    <t>PERMISOS</t>
  </si>
  <si>
    <t>FB MARKETPLACE</t>
  </si>
  <si>
    <t>ESQUEMA DE PAGOS</t>
  </si>
  <si>
    <t>GRUPO FACEBOOK</t>
  </si>
  <si>
    <t>LANDING PAGE</t>
  </si>
  <si>
    <t>Externo 4</t>
  </si>
  <si>
    <t>Asesor 4</t>
  </si>
  <si>
    <t>FACEBOOK FAN</t>
  </si>
  <si>
    <t>DISEÑO</t>
  </si>
  <si>
    <t>CAPITAL SEMILLA</t>
  </si>
  <si>
    <t>NO ACTIVO</t>
  </si>
  <si>
    <t>Externo 3</t>
  </si>
  <si>
    <t>Asesor 3</t>
  </si>
  <si>
    <t>FACEBOOK ADS</t>
  </si>
  <si>
    <t>Revender</t>
  </si>
  <si>
    <t>UBICACIÓN</t>
  </si>
  <si>
    <t>ENGANCHE ALTO</t>
  </si>
  <si>
    <t>EN HOLD</t>
  </si>
  <si>
    <t>Externo 2</t>
  </si>
  <si>
    <t>Asesor 2</t>
  </si>
  <si>
    <t>INSTAGRAM FOLLOWER</t>
  </si>
  <si>
    <t>Uso Propio</t>
  </si>
  <si>
    <t>ENGANCHE BAJO</t>
  </si>
  <si>
    <t>ACTIVO</t>
  </si>
  <si>
    <t>Externo 1</t>
  </si>
  <si>
    <t>Asesor 1</t>
  </si>
  <si>
    <t>INSTAGRAM ADS</t>
  </si>
  <si>
    <t>Inversionista</t>
  </si>
  <si>
    <t>ETAPA DE EMBUDO</t>
  </si>
  <si>
    <t>FUENTE</t>
  </si>
  <si>
    <t>UPDATER</t>
  </si>
  <si>
    <t>Son 3 vistas:</t>
  </si>
  <si>
    <t>Todo</t>
  </si>
  <si>
    <t>Naranja</t>
  </si>
  <si>
    <t>Verde</t>
  </si>
  <si>
    <t>Admin y Updater</t>
  </si>
  <si>
    <t>Todos</t>
  </si>
  <si>
    <t>Admin y Asesor</t>
  </si>
  <si>
    <t>COMEDRO</t>
  </si>
  <si>
    <t>COCINAS</t>
  </si>
  <si>
    <t>LAVANDERÍA</t>
  </si>
  <si>
    <t>CAJÓN</t>
  </si>
  <si>
    <t>MENSUALIDAD</t>
  </si>
  <si>
    <t>San Nicolas</t>
  </si>
  <si>
    <t>Santa Catarina</t>
  </si>
  <si>
    <t>Escobedo</t>
  </si>
  <si>
    <t>Apodaca</t>
  </si>
  <si>
    <t>Juarez</t>
  </si>
  <si>
    <t>García</t>
  </si>
  <si>
    <t>Las Torres</t>
  </si>
  <si>
    <t>Mitras</t>
  </si>
  <si>
    <t>NO CONTESTA</t>
  </si>
  <si>
    <t>ENVÍO DE INFO</t>
  </si>
  <si>
    <t>MUESTRA INTERÉS</t>
  </si>
  <si>
    <t>PRESENTACIÓN</t>
  </si>
  <si>
    <t>EVALUANDO</t>
  </si>
  <si>
    <t>NEGOCIACIÓN</t>
  </si>
  <si>
    <t>CIERRE GANADO</t>
  </si>
  <si>
    <t>SEPARADO</t>
  </si>
  <si>
    <t>ENGANCHE Y FIRMA</t>
  </si>
  <si>
    <t>NO LE INTERESÓ</t>
  </si>
  <si>
    <t>VALIDADO</t>
  </si>
  <si>
    <t>CIERRE PERDIDO</t>
  </si>
  <si>
    <t>SHOWROOM</t>
  </si>
  <si>
    <t>Estudiante</t>
  </si>
  <si>
    <t>Profesionista</t>
  </si>
  <si>
    <t>Familia Joven</t>
  </si>
  <si>
    <t>Familia Grande</t>
  </si>
  <si>
    <t>Tercera Edad</t>
  </si>
  <si>
    <t>SI ES BROKER EXTERNO</t>
  </si>
  <si>
    <t>Pareja</t>
  </si>
  <si>
    <t>PERFIL</t>
  </si>
  <si>
    <t>COMO LLEGA</t>
  </si>
  <si>
    <t>La Huasteca</t>
  </si>
  <si>
    <t>Tec</t>
  </si>
  <si>
    <t>Universidad</t>
  </si>
  <si>
    <t>LOCATION</t>
  </si>
  <si>
    <t>INICIO CONSTR.</t>
  </si>
  <si>
    <t>DESPACHO DE ARQUITECTOS</t>
  </si>
  <si>
    <t>DESARR.</t>
  </si>
  <si>
    <t>INPUT</t>
  </si>
  <si>
    <t>ANALISIS</t>
  </si>
  <si>
    <t>DESARROLLOS</t>
  </si>
  <si>
    <t>BALCON</t>
  </si>
  <si>
    <t>CAJONES</t>
  </si>
  <si>
    <t>INCLUIDOS</t>
  </si>
  <si>
    <t>OPCIONAL</t>
  </si>
  <si>
    <t>PROSPECTOS</t>
  </si>
  <si>
    <t>* Se registra automático al llegar por formulario</t>
  </si>
  <si>
    <t>Residencial</t>
  </si>
  <si>
    <t>Comercial</t>
  </si>
  <si>
    <t>Oficinas</t>
  </si>
  <si>
    <t>Salud</t>
  </si>
  <si>
    <t>Muros Interiores en Yeso</t>
  </si>
  <si>
    <t>Muros Interiores en Concreto Aparente</t>
  </si>
  <si>
    <t>Muros Interiores con Acabado Ladrillo</t>
  </si>
  <si>
    <t>Piso Cerámico</t>
  </si>
  <si>
    <t>Piso Porcelanato</t>
  </si>
  <si>
    <t>Piso  en Concreto Pulido</t>
  </si>
  <si>
    <t>Ventanería de Aluminio</t>
  </si>
  <si>
    <t>Ventanería de Aluminio Duo Vent</t>
  </si>
  <si>
    <t>Puerta Principal con Chapa</t>
  </si>
  <si>
    <t>Puertas interiores con Chapa</t>
  </si>
  <si>
    <t>Aire Acondicionado</t>
  </si>
  <si>
    <t>NUEVO</t>
  </si>
  <si>
    <t>ASIGNADO</t>
  </si>
  <si>
    <t>Analiza las opciones de inversión considerando lo que es importante para ti</t>
  </si>
  <si>
    <t>No te va a salir mas caro por hacerlo con nosotros</t>
  </si>
  <si>
    <t>Te vamos a sesorar personalmente para que tomes la mejor decision</t>
  </si>
  <si>
    <t>Te vamos a dar un esquema financiero de retorno</t>
  </si>
  <si>
    <t>CUANDO SE PRESENTE LA INFORMACIÓN FINANCIERA:</t>
  </si>
  <si>
    <t>Asesoría Personal</t>
  </si>
  <si>
    <t>Compartivos</t>
  </si>
  <si>
    <t>Esquema financiero</t>
  </si>
  <si>
    <t>Filtros</t>
  </si>
  <si>
    <t>DIFERENCIADORES</t>
  </si>
  <si>
    <t xml:space="preserve">NO TODAS </t>
  </si>
  <si>
    <t>Sólo las mejores opciones en Monterrey</t>
  </si>
  <si>
    <t>Elige tu próxima casa y deja todo el proceso en nuestras manos</t>
  </si>
  <si>
    <t>Tu asesor inmobiliario de confianza</t>
  </si>
  <si>
    <t>Encontrar tu hogar soñado nunca fue tan fácil</t>
  </si>
  <si>
    <t>Construye tu patrimonio ahora</t>
  </si>
  <si>
    <t>Revolucionamos los bienes raíces en México.</t>
  </si>
  <si>
    <t>Hoy puedes tener una oportunidad genial para ti y separarla!</t>
  </si>
  <si>
    <t>Todos los inmuebles nuevos a tu medida</t>
  </si>
  <si>
    <t>El mejor portal</t>
  </si>
  <si>
    <t>Redes sciales, Contacto, etc.</t>
  </si>
  <si>
    <t>FOOTER</t>
  </si>
  <si>
    <t>REVIEWS</t>
  </si>
  <si>
    <t>Te damos tips para decorar equipar y amueblar tu departamento</t>
  </si>
  <si>
    <t>Te acercamos con compañias air bnb y legales</t>
  </si>
  <si>
    <t>Te ayudamos con el credito hipotecario</t>
  </si>
  <si>
    <t>Te acompañamos en todo el proceso hasta la escrituracion</t>
  </si>
  <si>
    <t>VENTAJAS</t>
  </si>
  <si>
    <t>ULTIMOS</t>
  </si>
  <si>
    <t>ESTADÍSTICAS</t>
  </si>
  <si>
    <t>Mas visitados</t>
  </si>
  <si>
    <t>CONTENIDO</t>
  </si>
  <si>
    <t>Fecha estimada de Entrega</t>
  </si>
  <si>
    <t>Enganche</t>
  </si>
  <si>
    <t>Presupuesto Mínimo y Máximo</t>
  </si>
  <si>
    <t>Baños</t>
  </si>
  <si>
    <t>Recámaras</t>
  </si>
  <si>
    <t>Tamaño Minimo y Máximo</t>
  </si>
  <si>
    <t>Esperar a la mayor Plusvalía y Vender</t>
  </si>
  <si>
    <t>Zona</t>
  </si>
  <si>
    <t>Hacer Patrimonio y Usarlo Yo</t>
  </si>
  <si>
    <t>Ciudad</t>
  </si>
  <si>
    <t>Hacer Patrimonio y Cobrar Rentas</t>
  </si>
  <si>
    <t>Objetivo</t>
  </si>
  <si>
    <t>FILTRO</t>
  </si>
  <si>
    <t>Mensaje de impacto</t>
  </si>
  <si>
    <t>BODY</t>
  </si>
  <si>
    <t>Slogan</t>
  </si>
  <si>
    <t>HEADER</t>
  </si>
  <si>
    <t>VALLE</t>
  </si>
  <si>
    <t>SAN JOSÉ TEC</t>
  </si>
  <si>
    <t>MONTERREY</t>
  </si>
  <si>
    <t>Creare</t>
  </si>
  <si>
    <t>FECHA DE ENTREGA</t>
  </si>
  <si>
    <t>Este</t>
  </si>
  <si>
    <t>X</t>
  </si>
  <si>
    <t>Galerías</t>
  </si>
  <si>
    <t>Cuadro</t>
  </si>
  <si>
    <t>Maria Luisa</t>
  </si>
  <si>
    <t>Oeste</t>
  </si>
  <si>
    <t>C</t>
  </si>
  <si>
    <t>Altio</t>
  </si>
  <si>
    <t>Quantium</t>
  </si>
  <si>
    <t>Contry</t>
  </si>
  <si>
    <t>Lívita 20</t>
  </si>
  <si>
    <t>CAJ.</t>
  </si>
  <si>
    <t>LAV.</t>
  </si>
  <si>
    <t>COC.</t>
  </si>
  <si>
    <t>COM.</t>
  </si>
  <si>
    <t>CAP.</t>
  </si>
  <si>
    <t>Inversion Mensual Promedio</t>
  </si>
  <si>
    <t>Tiempo</t>
  </si>
  <si>
    <t>Inversión Real</t>
  </si>
  <si>
    <t>Ingresos por Rentas</t>
  </si>
  <si>
    <t>Inversión Total</t>
  </si>
  <si>
    <r>
      <rPr>
        <sz val="10"/>
        <rFont val="Gotham"/>
      </rPr>
      <t xml:space="preserve">¿Cuanto es lo que </t>
    </r>
    <r>
      <rPr>
        <b/>
        <sz val="10"/>
        <rFont val="Gotham"/>
      </rPr>
      <t xml:space="preserve">REALMENTE INVERTÍ </t>
    </r>
    <r>
      <rPr>
        <sz val="10"/>
        <rFont val="Gotham"/>
      </rPr>
      <t>de mi bolsa?</t>
    </r>
  </si>
  <si>
    <t>Total</t>
  </si>
  <si>
    <t>Al terminar el Crédito</t>
  </si>
  <si>
    <t>Al inicio</t>
  </si>
  <si>
    <r>
      <t xml:space="preserve">¿Cuál es la expectativa de </t>
    </r>
    <r>
      <rPr>
        <b/>
        <sz val="10"/>
        <color theme="0"/>
        <rFont val="Gotham"/>
      </rPr>
      <t>INGRESOS POR RENTAS</t>
    </r>
    <r>
      <rPr>
        <sz val="10"/>
        <color theme="0"/>
        <rFont val="Gotham"/>
      </rPr>
      <t>?</t>
    </r>
  </si>
  <si>
    <t>Mantenimiento</t>
  </si>
  <si>
    <t>Crédito Hipotecario</t>
  </si>
  <si>
    <t>Etapa Entrega</t>
  </si>
  <si>
    <r>
      <t xml:space="preserve">¿Cuánto es el </t>
    </r>
    <r>
      <rPr>
        <b/>
        <sz val="10"/>
        <color theme="0"/>
        <rFont val="Gotham"/>
      </rPr>
      <t>TOTAL DE INVERSIÓN</t>
    </r>
    <r>
      <rPr>
        <sz val="10"/>
        <color theme="0"/>
        <rFont val="Gotham"/>
      </rPr>
      <t xml:space="preserve"> desde el Enganche hasta que se termina de pagar el Crédito?</t>
    </r>
  </si>
  <si>
    <r>
      <t xml:space="preserve">¿Cuánto costará el </t>
    </r>
    <r>
      <rPr>
        <b/>
        <sz val="10"/>
        <color theme="0"/>
        <rFont val="Gotham"/>
      </rPr>
      <t>MANTENIMIENTO</t>
    </r>
    <r>
      <rPr>
        <sz val="10"/>
        <color theme="0"/>
        <rFont val="Gotham"/>
      </rPr>
      <t xml:space="preserve"> durante todo el Crédito Hipotecario?</t>
    </r>
  </si>
  <si>
    <t>Mensualidad</t>
  </si>
  <si>
    <t>Tasa</t>
  </si>
  <si>
    <t>Plazo</t>
  </si>
  <si>
    <t>Monto</t>
  </si>
  <si>
    <r>
      <t xml:space="preserve">¿Cuanto ocupo de </t>
    </r>
    <r>
      <rPr>
        <b/>
        <sz val="10"/>
        <color theme="0"/>
        <rFont val="Gotham"/>
      </rPr>
      <t>CRÉDITO HIPOTECARIO</t>
    </r>
    <r>
      <rPr>
        <sz val="10"/>
        <color theme="0"/>
        <rFont val="Gotham"/>
      </rPr>
      <t xml:space="preserve"> y como se paga?</t>
    </r>
  </si>
  <si>
    <t>Amueblar</t>
  </si>
  <si>
    <t>Equipar</t>
  </si>
  <si>
    <t>Notario</t>
  </si>
  <si>
    <t>Fecha</t>
  </si>
  <si>
    <r>
      <t xml:space="preserve">¿Qué gastos tengo que realizar en la </t>
    </r>
    <r>
      <rPr>
        <b/>
        <sz val="10"/>
        <color theme="0"/>
        <rFont val="Gotham"/>
      </rPr>
      <t>ETAPA DE ENTREGA</t>
    </r>
    <r>
      <rPr>
        <sz val="10"/>
        <color theme="0"/>
        <rFont val="Gotham"/>
      </rPr>
      <t>?</t>
    </r>
  </si>
  <si>
    <t>En Pagos</t>
  </si>
  <si>
    <r>
      <t xml:space="preserve">¿Cuanto tengo que pagar de </t>
    </r>
    <r>
      <rPr>
        <b/>
        <sz val="12"/>
        <color theme="0"/>
        <rFont val="Calibri"/>
        <family val="2"/>
        <scheme val="minor"/>
      </rPr>
      <t xml:space="preserve">ENGANCHE </t>
    </r>
    <r>
      <rPr>
        <sz val="12"/>
        <color theme="0"/>
        <rFont val="Calibri"/>
        <family val="2"/>
        <scheme val="minor"/>
      </rPr>
      <t>y cómo es el esquema?</t>
    </r>
  </si>
  <si>
    <t>Solicitar Análisis</t>
  </si>
  <si>
    <t>Correo electrónico:</t>
  </si>
  <si>
    <t>Celular/Whatsapp:</t>
  </si>
  <si>
    <t>Nombre y Apellido:</t>
  </si>
  <si>
    <t>IMAGEN EJEMPLO ESQUEMA TABLA</t>
  </si>
  <si>
    <t>Te podemos compartir un analisis a detalle de todo lo que involucra la adqusición de este departamento, mismo detalle que puedes revisar en tu tiempo y posteriormente reunirnos si así lo crees conveniente para asesorarte sobre las opciones acorde a tu objetivo y posibilidades.</t>
  </si>
  <si>
    <t>¿Sabes de rendimientos y tasas?</t>
  </si>
  <si>
    <t>anual</t>
  </si>
  <si>
    <t>¿Qué tasa de interés necesitaría de un banco para obtener el mismo resultado?</t>
  </si>
  <si>
    <t>pesos</t>
  </si>
  <si>
    <t>¿Cuál sería el valor final del departamento considerando la plusvalía?</t>
  </si>
  <si>
    <t>pesos de manera Paulatina durante</t>
  </si>
  <si>
    <t>Un total de</t>
  </si>
  <si>
    <t>¿Cuánto tendría que invertir de mi bolsa?</t>
  </si>
  <si>
    <t>Credito menos Rentas</t>
  </si>
  <si>
    <t>Crédito + Mtto. - Rentas</t>
  </si>
  <si>
    <t>Equipar y Amueblar</t>
  </si>
  <si>
    <t>Escrituración</t>
  </si>
  <si>
    <t>Plusvalia</t>
  </si>
  <si>
    <t>Acorde a la plusvalía, se proyecta que al terminar el Crédito Hipotecario en Noviembre de 2039, este departamento tendría un valor de:</t>
  </si>
  <si>
    <t xml:space="preserve">Sabemos que para adquirir un departamento y tener ingresos por rentas se requiere pagar un enganche y un capital contra entrega, que posiblemente será un crédito hipotecario; además de los gastos de escrituración, equipo, muebles y mantenimiento mensual. </t>
  </si>
  <si>
    <t>Me interesa este departamento…</t>
  </si>
  <si>
    <t>Ingresos menos egresos:</t>
  </si>
  <si>
    <t>La propiedad se rentará en:</t>
  </si>
  <si>
    <t>Tasa anual acorde a la inversión real:</t>
  </si>
  <si>
    <t>VALOR DE LA PROPIEDAD</t>
  </si>
  <si>
    <t>INGRESOS Y EGRESOS TOTALES</t>
  </si>
  <si>
    <t>Diferencia:</t>
  </si>
  <si>
    <t>Costo del crédito y mantenimiento:</t>
  </si>
  <si>
    <t>FLUJO AL INICIO Y FIN DEL CRÉDITO</t>
  </si>
  <si>
    <t>CRÉDITO Y MANTENIMIENTO</t>
  </si>
  <si>
    <t>Equipamiento y Amueblar:</t>
  </si>
  <si>
    <t>ENGANCHE Y SETUP</t>
  </si>
  <si>
    <t>2 Cajones</t>
  </si>
  <si>
    <t>1 Terraza</t>
  </si>
  <si>
    <t>1 Flex</t>
  </si>
  <si>
    <t>1 Balcón</t>
  </si>
  <si>
    <t>Admin</t>
  </si>
  <si>
    <t>Updater</t>
  </si>
  <si>
    <t>Profiler</t>
  </si>
  <si>
    <t>Asesor Interno</t>
  </si>
  <si>
    <t>Desarrollador</t>
  </si>
  <si>
    <t>RFC</t>
  </si>
  <si>
    <t>ANTIGUEDAD</t>
  </si>
  <si>
    <t>TIPOS DE DESARROLLOS</t>
  </si>
  <si>
    <t>LEGALES</t>
  </si>
  <si>
    <t>REPRESENTANTELEGAL</t>
  </si>
  <si>
    <t>VENTAS</t>
  </si>
  <si>
    <t>PAGOS</t>
  </si>
  <si>
    <t>RAZON SOCIAL</t>
  </si>
  <si>
    <t>ID</t>
  </si>
  <si>
    <t>Creare Desarrollos SA de CV</t>
  </si>
  <si>
    <t>DEC210330TY8</t>
  </si>
  <si>
    <t>Jorge Gozalez Perez</t>
  </si>
  <si>
    <t>Karla Gomez Peña</t>
  </si>
  <si>
    <t>karla@creare.com.mx</t>
  </si>
  <si>
    <t>Ernesto Lozano Gamez</t>
  </si>
  <si>
    <t>ernesto@creare.com.mx</t>
  </si>
  <si>
    <t>DOMICILIO</t>
  </si>
  <si>
    <t>Eugenio Garza Sada 3820, Col. Ms Palomas, Monterrey N.L. 64780</t>
  </si>
  <si>
    <t>Finanzas</t>
  </si>
  <si>
    <t>Desarrollador 1</t>
  </si>
  <si>
    <t>Legales</t>
  </si>
  <si>
    <t>Identidad</t>
  </si>
  <si>
    <t>Corporativo</t>
  </si>
  <si>
    <t>Convenios</t>
  </si>
  <si>
    <t>Desarrollo A</t>
  </si>
  <si>
    <t>Permisos</t>
  </si>
  <si>
    <t>Fideicomiso</t>
  </si>
  <si>
    <t>Oferta y Contrato</t>
  </si>
  <si>
    <t>Venta</t>
  </si>
  <si>
    <t>Imágenes</t>
  </si>
  <si>
    <t>Videos</t>
  </si>
  <si>
    <t>Brochures y Flyers</t>
  </si>
  <si>
    <t>Promociones</t>
  </si>
  <si>
    <t>Acabados y Equipamiento</t>
  </si>
  <si>
    <t>Listas de Precios</t>
  </si>
  <si>
    <t>Ejercicios</t>
  </si>
  <si>
    <t>Tiología X</t>
  </si>
  <si>
    <t>Tiología Y</t>
  </si>
  <si>
    <t>Tiología Z</t>
  </si>
  <si>
    <t>CLIENTES</t>
  </si>
  <si>
    <t>Cliente A</t>
  </si>
  <si>
    <t>Documentos de Identidad</t>
  </si>
  <si>
    <t>Cotizaciones</t>
  </si>
  <si>
    <t>DE TRABAJO</t>
  </si>
  <si>
    <t>Recibo de Separación</t>
  </si>
  <si>
    <t>Cartas</t>
  </si>
  <si>
    <t>Checklists</t>
  </si>
  <si>
    <t>7 Productos</t>
  </si>
  <si>
    <t>Dashboard</t>
  </si>
  <si>
    <t>Desarrolladores</t>
  </si>
  <si>
    <t>Desarrollos</t>
  </si>
  <si>
    <t>Tipologías</t>
  </si>
  <si>
    <t>Prospectos</t>
  </si>
  <si>
    <t>Documentos</t>
  </si>
  <si>
    <t>Catalogos</t>
  </si>
  <si>
    <t>(Listado de Carpetas de, Desarrolladores, Desarrollos, Tipologías, Prospectos.</t>
  </si>
  <si>
    <t>Falta añadir, sub carpetas, funcionalidad para compartir a clientes, para que puedan subir sus ines los clientes, o ver documentos que el admin compartira)</t>
  </si>
  <si>
    <t>Organizar las cotizaciones por desarrollo?</t>
  </si>
  <si>
    <t>Locales</t>
  </si>
  <si>
    <t>Convenios NO</t>
  </si>
  <si>
    <t>Residencial, Comercial, Salud</t>
  </si>
  <si>
    <t>N/A</t>
  </si>
  <si>
    <t>COMERIALIZADORA</t>
  </si>
  <si>
    <t>Birlok</t>
  </si>
  <si>
    <t>COMERCILIZADORAS</t>
  </si>
  <si>
    <t>NUMA</t>
  </si>
  <si>
    <t>CREAM</t>
  </si>
  <si>
    <t>Arquitectos del Norte</t>
  </si>
  <si>
    <t>TIEMPO</t>
  </si>
  <si>
    <t>RESTANTE</t>
  </si>
  <si>
    <t>VENTA</t>
  </si>
  <si>
    <t>ENTREGA REAL</t>
  </si>
  <si>
    <t>ENTREGA PROYECTADA</t>
  </si>
  <si>
    <t>DESPACHOS DE ARQUITECTURA</t>
  </si>
  <si>
    <t>Perez y Perez Arquitectos</t>
  </si>
  <si>
    <t>Solo Convenios</t>
  </si>
  <si>
    <t>COMERCIALIZADORA</t>
  </si>
  <si>
    <t>Mismo</t>
  </si>
  <si>
    <t>Ultima fecha de actualizacion</t>
  </si>
  <si>
    <t>Asesor</t>
  </si>
  <si>
    <t>Sin Convenios</t>
  </si>
  <si>
    <t>Registro de Ventas, precio comision, fechas</t>
  </si>
  <si>
    <t>Cambios NO retroactivos</t>
  </si>
  <si>
    <t>Automatico</t>
  </si>
  <si>
    <t>INICIO CONSTR. Real</t>
  </si>
  <si>
    <t>REPRESENTANTE</t>
  </si>
  <si>
    <t>TIPOS</t>
  </si>
  <si>
    <t>COMERCILIZADORA</t>
  </si>
  <si>
    <t>TELÉFONO</t>
  </si>
  <si>
    <t>FINANZAS</t>
  </si>
  <si>
    <t>CONTACTO</t>
  </si>
  <si>
    <t>ACABADOS</t>
  </si>
  <si>
    <t>DEPAS</t>
  </si>
  <si>
    <t>VENDIDAS</t>
  </si>
  <si>
    <t>TIEMPO TRANSC.</t>
  </si>
  <si>
    <t>INICIO OBRA</t>
  </si>
  <si>
    <t>PROYECTADO</t>
  </si>
  <si>
    <t>REAL</t>
  </si>
  <si>
    <t>PROYECTADA</t>
  </si>
  <si>
    <t>ACTUALIZADA</t>
  </si>
  <si>
    <t>ARQUITECTURA</t>
  </si>
  <si>
    <t>TIPOLOGAS</t>
  </si>
  <si>
    <t>TIPOLOGÍAS</t>
  </si>
  <si>
    <t>Koinox</t>
  </si>
  <si>
    <t>Kyo Constella</t>
  </si>
  <si>
    <t>PROYECTOS 9</t>
  </si>
  <si>
    <t>Moca Rojo</t>
  </si>
  <si>
    <t>PLATE</t>
  </si>
  <si>
    <t>ZONAS</t>
  </si>
  <si>
    <t>Poniente</t>
  </si>
  <si>
    <t>San Nicolás</t>
  </si>
  <si>
    <t>VISTA 1</t>
  </si>
  <si>
    <t>VISTA 2</t>
  </si>
  <si>
    <t>VISTA 3</t>
  </si>
  <si>
    <t>VISTA 4</t>
  </si>
  <si>
    <t>VISTA 5</t>
  </si>
  <si>
    <t>VISTA 6</t>
  </si>
  <si>
    <t>INCLUÍDA</t>
  </si>
  <si>
    <t>MTTO.</t>
  </si>
  <si>
    <t>INCREMENTO RENTA</t>
  </si>
  <si>
    <t>Loft</t>
  </si>
  <si>
    <t>2 en Tandem</t>
  </si>
  <si>
    <t>SEPARACIÓN</t>
  </si>
  <si>
    <t>ENGANCHE</t>
  </si>
  <si>
    <t>asd</t>
  </si>
  <si>
    <t>1 + Flex</t>
  </si>
  <si>
    <t>2 + Flex</t>
  </si>
  <si>
    <t>3 + Flex</t>
  </si>
  <si>
    <t>4 + Flex</t>
  </si>
  <si>
    <t>LOCKOFF</t>
  </si>
  <si>
    <t>Sala</t>
  </si>
  <si>
    <t>Comedor</t>
  </si>
  <si>
    <t>Lavandería</t>
  </si>
  <si>
    <t>AREAS</t>
  </si>
  <si>
    <t>Servicio</t>
  </si>
  <si>
    <t>UNIDADES</t>
  </si>
  <si>
    <t>BONO</t>
  </si>
  <si>
    <t xml:space="preserve">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</si>
</sst>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$&quot;#,##0;\-&quot;$&quot;#,##0"/>
    <numFmt numFmtId="165" formatCode="&quot;$&quot;#,##0;[Red]\-&quot;$&quot;#,##0"/>
    <numFmt numFmtId="166" formatCode="&quot;$&quot;#,##0.00;[Red]\-&quot;$&quot;#,##0.00"/>
    <numFmt numFmtId="167" formatCode="_-&quot;$&quot;* #,##0.00_-;\-&quot;$&quot;* #,##0.00_-;_-&quot;$&quot;* &quot;-&quot;??_-;_-@_-"/>
    <numFmt numFmtId="168" formatCode="0.0%"/>
    <numFmt numFmtId="169" formatCode="_-&quot;$&quot;* #,##0_-;\-&quot;$&quot;* #,##0_-;_-&quot;$&quot;* &quot;-&quot;??_-;_-@_-"/>
    <numFmt numFmtId="170" formatCode="0.0"/>
    <numFmt numFmtId="171" formatCode="mmm\ yyyy"/>
    <numFmt numFmtId="172" formatCode="mmmm\ yyyy"/>
    <numFmt numFmtId="173" formatCode="&quot;$&quot;#,##0"/>
    <numFmt numFmtId="174" formatCode="&quot;$&quot;#,##0.0000"/>
    <numFmt numFmtId="175" formatCode="0.000"/>
  </numFmts>
  <fonts count="5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0"/>
      <name val="Comfortaa"/>
    </font>
    <font>
      <sz val="10"/>
      <color theme="1"/>
      <name val="Calibri"/>
      <family val="2"/>
      <scheme val="minor"/>
    </font>
    <font>
      <sz val="10"/>
      <color theme="1"/>
      <name val="Gotham"/>
    </font>
    <font>
      <sz val="11"/>
      <color theme="1"/>
      <name val="Gotham"/>
    </font>
    <font>
      <sz val="10"/>
      <name val="Gotham"/>
    </font>
    <font>
      <b/>
      <sz val="10"/>
      <name val="Gotham"/>
    </font>
    <font>
      <b/>
      <sz val="10"/>
      <color theme="1"/>
      <name val="Gotham"/>
    </font>
    <font>
      <sz val="10"/>
      <color theme="0"/>
      <name val="Gotham"/>
    </font>
    <font>
      <b/>
      <sz val="10"/>
      <color theme="0"/>
      <name val="Gotham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002060"/>
      <name val="Gotham"/>
    </font>
    <font>
      <sz val="11"/>
      <name val="Gotham"/>
    </font>
    <font>
      <b/>
      <sz val="12"/>
      <color rgb="FF0000FF"/>
      <name val="Gotham"/>
    </font>
    <font>
      <sz val="11"/>
      <color theme="0"/>
      <name val="Gotham"/>
    </font>
    <font>
      <b/>
      <sz val="11"/>
      <color theme="0"/>
      <name val="Gotham"/>
    </font>
    <font>
      <b/>
      <sz val="20"/>
      <name val="Gotham"/>
    </font>
    <font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color rgb="FF0039AC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0000DA"/>
      <name val="Calibri"/>
      <family val="2"/>
      <scheme val="minor"/>
    </font>
    <font>
      <b/>
      <sz val="10"/>
      <color rgb="FF33669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6"/>
      <color rgb="FF0C83C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omfortaa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95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5D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7B7777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32476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ECDEF6"/>
        <bgColor indexed="64"/>
      </patternFill>
    </fill>
    <fill>
      <patternFill patternType="solid">
        <fgColor rgb="FF0000B0"/>
        <bgColor indexed="64"/>
      </patternFill>
    </fill>
    <fill>
      <patternFill patternType="solid">
        <fgColor rgb="FF0039A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31CC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846E7"/>
        <bgColor indexed="64"/>
      </patternFill>
    </fill>
    <fill>
      <patternFill patternType="solid">
        <fgColor rgb="FF1408FC"/>
        <bgColor indexed="64"/>
      </patternFill>
    </fill>
    <fill>
      <patternFill patternType="solid">
        <fgColor rgb="FF04E6E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0AF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43AE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BA7E9"/>
        <bgColor indexed="64"/>
      </patternFill>
    </fill>
    <fill>
      <patternFill patternType="solid">
        <fgColor rgb="FFF30BC1"/>
        <bgColor indexed="64"/>
      </patternFill>
    </fill>
    <fill>
      <patternFill patternType="solid">
        <fgColor rgb="FFA3C2FF"/>
        <bgColor indexed="64"/>
      </patternFill>
    </fill>
    <fill>
      <patternFill patternType="solid">
        <fgColor rgb="FF3729E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966F"/>
        <bgColor indexed="64"/>
      </patternFill>
    </fill>
    <fill>
      <patternFill patternType="lightUp">
        <bgColor theme="0"/>
      </patternFill>
    </fill>
    <fill>
      <patternFill patternType="solid">
        <fgColor rgb="FF336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9A4E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A02AE"/>
        <bgColor indexed="64"/>
      </patternFill>
    </fill>
    <fill>
      <patternFill patternType="solid">
        <fgColor rgb="FF05015B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theme="0" tint="-0.14990691854609822"/>
      </right>
      <top/>
      <bottom style="medium">
        <color theme="0" tint="-0.14990691854609822"/>
      </bottom>
      <diagonal/>
    </border>
    <border>
      <left style="medium">
        <color theme="0" tint="-0.14990691854609822"/>
      </left>
      <right style="medium">
        <color theme="0" tint="-0.14996795556505021"/>
      </right>
      <top/>
      <bottom style="medium">
        <color theme="0" tint="-0.14990691854609822"/>
      </bottom>
      <diagonal/>
    </border>
    <border>
      <left/>
      <right style="medium">
        <color theme="0" tint="-0.14990691854609822"/>
      </right>
      <top/>
      <bottom/>
      <diagonal/>
    </border>
    <border>
      <left style="medium">
        <color theme="0" tint="-0.14990691854609822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0691854609822"/>
      </right>
      <top style="medium">
        <color theme="0" tint="-0.14990691854609822"/>
      </top>
      <bottom/>
      <diagonal/>
    </border>
    <border>
      <left style="medium">
        <color theme="0" tint="-0.14990691854609822"/>
      </left>
      <right style="medium">
        <color theme="0" tint="-0.14996795556505021"/>
      </right>
      <top style="medium">
        <color theme="0" tint="-0.14990691854609822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/>
      <right/>
      <top/>
      <bottom style="medium">
        <color theme="0" tint="-0.14996795556505021"/>
      </bottom>
      <diagonal/>
    </border>
    <border>
      <left style="medium">
        <color rgb="FF114477"/>
      </left>
      <right/>
      <top/>
      <bottom style="medium">
        <color theme="0" tint="-0.14996795556505021"/>
      </bottom>
      <diagonal/>
    </border>
    <border>
      <left style="medium">
        <color rgb="FF114477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8" fillId="0" borderId="0"/>
    <xf numFmtId="0" fontId="45" fillId="0" borderId="0" applyNumberFormat="0" applyFill="0" applyBorder="0" applyAlignment="0" applyProtection="0"/>
    <xf numFmtId="167" fontId="2" fillId="0" borderId="0" applyFont="0" applyFill="0" applyBorder="0" applyAlignment="0" applyProtection="0"/>
  </cellStyleXfs>
  <cellXfs count="600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1" fillId="3" borderId="0" xfId="0" applyFont="1" applyFill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8" borderId="0" xfId="0" applyFont="1" applyFill="1" applyAlignment="1">
      <alignment vertical="center"/>
    </xf>
    <xf numFmtId="0" fontId="0" fillId="2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169" fontId="0" fillId="2" borderId="1" xfId="2" applyNumberFormat="1" applyFont="1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2" borderId="1" xfId="2" applyNumberFormat="1" applyFont="1" applyFill="1" applyBorder="1" applyAlignment="1">
      <alignment horizontal="center"/>
    </xf>
    <xf numFmtId="170" fontId="0" fillId="2" borderId="1" xfId="0" applyNumberFormat="1" applyFill="1" applyBorder="1" applyAlignment="1">
      <alignment horizontal="center"/>
    </xf>
    <xf numFmtId="171" fontId="0" fillId="2" borderId="1" xfId="0" quotePrefix="1" applyNumberForma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172" fontId="0" fillId="2" borderId="1" xfId="0" quotePrefix="1" applyNumberForma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3" borderId="0" xfId="0" applyFill="1"/>
    <xf numFmtId="0" fontId="1" fillId="23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/>
    </xf>
    <xf numFmtId="0" fontId="6" fillId="9" borderId="0" xfId="0" applyFont="1" applyFill="1" applyAlignment="1">
      <alignment vertical="center"/>
    </xf>
    <xf numFmtId="9" fontId="7" fillId="20" borderId="0" xfId="0" applyNumberFormat="1" applyFont="1" applyFill="1" applyAlignment="1">
      <alignment horizontal="center" vertical="center" wrapText="1"/>
    </xf>
    <xf numFmtId="9" fontId="6" fillId="22" borderId="0" xfId="0" applyNumberFormat="1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vertical="center"/>
    </xf>
    <xf numFmtId="0" fontId="0" fillId="21" borderId="0" xfId="0" applyFill="1" applyAlignment="1">
      <alignment horizontal="right" vertical="center"/>
    </xf>
    <xf numFmtId="0" fontId="0" fillId="20" borderId="0" xfId="0" applyFill="1"/>
    <xf numFmtId="0" fontId="5" fillId="2" borderId="0" xfId="0" applyFont="1" applyFill="1" applyAlignment="1">
      <alignment horizontal="center" vertical="center"/>
    </xf>
    <xf numFmtId="0" fontId="7" fillId="2" borderId="0" xfId="0" applyFont="1" applyFill="1"/>
    <xf numFmtId="0" fontId="6" fillId="5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7" fillId="24" borderId="0" xfId="0" applyFont="1" applyFill="1" applyAlignment="1">
      <alignment vertical="center" wrapText="1"/>
    </xf>
    <xf numFmtId="0" fontId="7" fillId="24" borderId="0" xfId="0" applyFont="1" applyFill="1" applyAlignment="1">
      <alignment vertical="center"/>
    </xf>
    <xf numFmtId="0" fontId="7" fillId="17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21" borderId="0" xfId="0" applyFont="1" applyFill="1"/>
    <xf numFmtId="0" fontId="6" fillId="18" borderId="0" xfId="0" applyFont="1" applyFill="1" applyAlignment="1">
      <alignment horizontal="center" vertical="center"/>
    </xf>
    <xf numFmtId="168" fontId="6" fillId="2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25" borderId="0" xfId="0" applyFont="1" applyFill="1" applyAlignment="1">
      <alignment horizontal="center"/>
    </xf>
    <xf numFmtId="169" fontId="0" fillId="24" borderId="1" xfId="2" applyNumberFormat="1" applyFont="1" applyFill="1" applyBorder="1" applyAlignment="1">
      <alignment horizontal="center"/>
    </xf>
    <xf numFmtId="0" fontId="0" fillId="26" borderId="0" xfId="0" applyFill="1"/>
    <xf numFmtId="0" fontId="6" fillId="26" borderId="0" xfId="0" applyFont="1" applyFill="1" applyAlignment="1">
      <alignment vertical="center"/>
    </xf>
    <xf numFmtId="10" fontId="0" fillId="27" borderId="1" xfId="1" applyNumberFormat="1" applyFont="1" applyFill="1" applyBorder="1" applyAlignment="1">
      <alignment horizontal="center"/>
    </xf>
    <xf numFmtId="169" fontId="0" fillId="27" borderId="1" xfId="2" applyNumberFormat="1" applyFont="1" applyFill="1" applyBorder="1" applyAlignment="1">
      <alignment horizontal="center"/>
    </xf>
    <xf numFmtId="9" fontId="0" fillId="27" borderId="1" xfId="1" applyFont="1" applyFill="1" applyBorder="1" applyAlignment="1">
      <alignment horizontal="center"/>
    </xf>
    <xf numFmtId="172" fontId="0" fillId="27" borderId="1" xfId="0" quotePrefix="1" applyNumberFormat="1" applyFill="1" applyBorder="1" applyAlignment="1">
      <alignment horizontal="center"/>
    </xf>
    <xf numFmtId="168" fontId="0" fillId="27" borderId="1" xfId="0" applyNumberFormat="1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168" fontId="0" fillId="27" borderId="1" xfId="0" applyNumberFormat="1" applyFill="1" applyBorder="1" applyAlignment="1">
      <alignment horizontal="center" vertical="center" wrapText="1"/>
    </xf>
    <xf numFmtId="169" fontId="0" fillId="27" borderId="1" xfId="0" applyNumberFormat="1" applyFill="1" applyBorder="1"/>
    <xf numFmtId="1" fontId="0" fillId="27" borderId="1" xfId="0" applyNumberFormat="1" applyFill="1" applyBorder="1" applyAlignment="1">
      <alignment horizontal="center" vertical="center" wrapText="1"/>
    </xf>
    <xf numFmtId="2" fontId="0" fillId="27" borderId="1" xfId="0" applyNumberFormat="1" applyFill="1" applyBorder="1" applyAlignment="1">
      <alignment horizontal="center" vertical="center" wrapText="1"/>
    </xf>
    <xf numFmtId="0" fontId="6" fillId="18" borderId="0" xfId="0" applyFont="1" applyFill="1" applyAlignment="1">
      <alignment horizontal="left" vertical="center"/>
    </xf>
    <xf numFmtId="169" fontId="0" fillId="28" borderId="1" xfId="2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29" borderId="1" xfId="0" applyFont="1" applyFill="1" applyBorder="1" applyAlignment="1">
      <alignment horizontal="center"/>
    </xf>
    <xf numFmtId="170" fontId="0" fillId="27" borderId="1" xfId="2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1" borderId="1" xfId="0" applyFill="1" applyBorder="1" applyAlignment="1">
      <alignment horizontal="center"/>
    </xf>
    <xf numFmtId="0" fontId="7" fillId="4" borderId="0" xfId="0" applyFont="1" applyFill="1" applyAlignment="1">
      <alignment horizontal="center" vertical="center"/>
    </xf>
    <xf numFmtId="171" fontId="0" fillId="14" borderId="1" xfId="0" quotePrefix="1" applyNumberFormat="1" applyFill="1" applyBorder="1" applyAlignment="1">
      <alignment horizontal="center"/>
    </xf>
    <xf numFmtId="172" fontId="0" fillId="14" borderId="1" xfId="0" quotePrefix="1" applyNumberFormat="1" applyFill="1" applyBorder="1" applyAlignment="1">
      <alignment horizontal="center"/>
    </xf>
    <xf numFmtId="9" fontId="0" fillId="14" borderId="1" xfId="1" quotePrefix="1" applyFont="1" applyFill="1" applyBorder="1" applyAlignment="1">
      <alignment horizontal="center"/>
    </xf>
    <xf numFmtId="0" fontId="8" fillId="2" borderId="0" xfId="3" applyFill="1"/>
    <xf numFmtId="0" fontId="8" fillId="20" borderId="1" xfId="3" applyFill="1" applyBorder="1"/>
    <xf numFmtId="0" fontId="8" fillId="3" borderId="1" xfId="3" applyFill="1" applyBorder="1"/>
    <xf numFmtId="0" fontId="10" fillId="35" borderId="1" xfId="3" applyFont="1" applyFill="1" applyBorder="1" applyAlignment="1">
      <alignment horizontal="center"/>
    </xf>
    <xf numFmtId="0" fontId="8" fillId="17" borderId="1" xfId="3" applyFill="1" applyBorder="1"/>
    <xf numFmtId="0" fontId="11" fillId="17" borderId="1" xfId="3" applyFont="1" applyFill="1" applyBorder="1" applyAlignment="1">
      <alignment horizontal="center"/>
    </xf>
    <xf numFmtId="0" fontId="8" fillId="25" borderId="1" xfId="3" applyFill="1" applyBorder="1"/>
    <xf numFmtId="0" fontId="12" fillId="3" borderId="12" xfId="3" applyFont="1" applyFill="1" applyBorder="1" applyAlignment="1">
      <alignment horizontal="center"/>
    </xf>
    <xf numFmtId="0" fontId="13" fillId="2" borderId="0" xfId="3" applyFont="1" applyFill="1" applyAlignment="1">
      <alignment horizontal="center"/>
    </xf>
    <xf numFmtId="0" fontId="8" fillId="0" borderId="0" xfId="3"/>
    <xf numFmtId="0" fontId="14" fillId="3" borderId="13" xfId="3" applyFont="1" applyFill="1" applyBorder="1" applyAlignment="1">
      <alignment horizontal="center"/>
    </xf>
    <xf numFmtId="0" fontId="14" fillId="3" borderId="14" xfId="3" applyFont="1" applyFill="1" applyBorder="1" applyAlignment="1">
      <alignment horizontal="center"/>
    </xf>
    <xf numFmtId="0" fontId="14" fillId="3" borderId="15" xfId="3" applyFont="1" applyFill="1" applyBorder="1" applyAlignment="1">
      <alignment horizontal="center"/>
    </xf>
    <xf numFmtId="0" fontId="14" fillId="3" borderId="16" xfId="3" applyFont="1" applyFill="1" applyBorder="1" applyAlignment="1">
      <alignment horizontal="center"/>
    </xf>
    <xf numFmtId="0" fontId="8" fillId="4" borderId="9" xfId="3" applyFill="1" applyBorder="1" applyAlignment="1">
      <alignment horizontal="center"/>
    </xf>
    <xf numFmtId="0" fontId="8" fillId="2" borderId="0" xfId="3" applyFill="1" applyAlignment="1">
      <alignment horizontal="center"/>
    </xf>
    <xf numFmtId="0" fontId="15" fillId="2" borderId="1" xfId="3" applyFont="1" applyFill="1" applyBorder="1" applyAlignment="1">
      <alignment horizontal="center"/>
    </xf>
    <xf numFmtId="0" fontId="8" fillId="2" borderId="1" xfId="3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0" fontId="0" fillId="36" borderId="0" xfId="0" applyFill="1"/>
    <xf numFmtId="0" fontId="3" fillId="17" borderId="0" xfId="0" applyFont="1" applyFill="1" applyAlignment="1">
      <alignment horizontal="center"/>
    </xf>
    <xf numFmtId="0" fontId="0" fillId="17" borderId="0" xfId="0" applyFill="1"/>
    <xf numFmtId="0" fontId="0" fillId="25" borderId="1" xfId="0" applyFill="1" applyBorder="1"/>
    <xf numFmtId="0" fontId="0" fillId="37" borderId="1" xfId="0" applyFill="1" applyBorder="1"/>
    <xf numFmtId="170" fontId="0" fillId="25" borderId="0" xfId="0" applyNumberFormat="1" applyFill="1" applyAlignment="1">
      <alignment horizontal="center" vertical="center" wrapText="1"/>
    </xf>
    <xf numFmtId="168" fontId="0" fillId="25" borderId="0" xfId="0" applyNumberFormat="1" applyFill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168" fontId="0" fillId="25" borderId="0" xfId="0" applyNumberFormat="1" applyFill="1" applyAlignment="1">
      <alignment horizontal="center" vertical="center"/>
    </xf>
    <xf numFmtId="0" fontId="3" fillId="37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8" fillId="4" borderId="1" xfId="3" applyFill="1" applyBorder="1"/>
    <xf numFmtId="0" fontId="9" fillId="4" borderId="1" xfId="3" applyFont="1" applyFill="1" applyBorder="1" applyAlignment="1">
      <alignment horizontal="center"/>
    </xf>
    <xf numFmtId="168" fontId="3" fillId="25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6" fillId="26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2" fillId="3" borderId="5" xfId="3" applyFont="1" applyFill="1" applyBorder="1" applyAlignment="1">
      <alignment horizontal="center"/>
    </xf>
    <xf numFmtId="0" fontId="12" fillId="3" borderId="6" xfId="3" applyFont="1" applyFill="1" applyBorder="1" applyAlignment="1">
      <alignment horizontal="center"/>
    </xf>
    <xf numFmtId="0" fontId="8" fillId="37" borderId="5" xfId="3" applyFill="1" applyBorder="1" applyAlignment="1">
      <alignment horizontal="center"/>
    </xf>
    <xf numFmtId="0" fontId="15" fillId="39" borderId="1" xfId="3" applyFont="1" applyFill="1" applyBorder="1" applyAlignment="1">
      <alignment horizontal="center"/>
    </xf>
    <xf numFmtId="0" fontId="15" fillId="2" borderId="6" xfId="3" applyFont="1" applyFill="1" applyBorder="1" applyAlignment="1">
      <alignment horizontal="center"/>
    </xf>
    <xf numFmtId="0" fontId="15" fillId="37" borderId="1" xfId="3" applyFont="1" applyFill="1" applyBorder="1" applyAlignment="1">
      <alignment horizontal="center"/>
    </xf>
    <xf numFmtId="0" fontId="8" fillId="40" borderId="5" xfId="3" applyFill="1" applyBorder="1" applyAlignment="1">
      <alignment horizontal="center"/>
    </xf>
    <xf numFmtId="0" fontId="15" fillId="38" borderId="1" xfId="3" applyFont="1" applyFill="1" applyBorder="1" applyAlignment="1">
      <alignment horizontal="center"/>
    </xf>
    <xf numFmtId="0" fontId="15" fillId="17" borderId="1" xfId="3" applyFont="1" applyFill="1" applyBorder="1" applyAlignment="1">
      <alignment horizontal="center"/>
    </xf>
    <xf numFmtId="0" fontId="8" fillId="4" borderId="5" xfId="3" applyFill="1" applyBorder="1" applyAlignment="1">
      <alignment horizontal="center"/>
    </xf>
    <xf numFmtId="0" fontId="15" fillId="41" borderId="1" xfId="3" applyFont="1" applyFill="1" applyBorder="1" applyAlignment="1">
      <alignment horizontal="center"/>
    </xf>
    <xf numFmtId="0" fontId="15" fillId="25" borderId="1" xfId="3" applyFont="1" applyFill="1" applyBorder="1" applyAlignment="1">
      <alignment horizontal="center"/>
    </xf>
    <xf numFmtId="0" fontId="15" fillId="4" borderId="1" xfId="3" applyFont="1" applyFill="1" applyBorder="1" applyAlignment="1">
      <alignment horizontal="center"/>
    </xf>
    <xf numFmtId="0" fontId="15" fillId="2" borderId="0" xfId="3" applyFont="1" applyFill="1" applyAlignment="1">
      <alignment horizontal="center"/>
    </xf>
    <xf numFmtId="0" fontId="12" fillId="25" borderId="1" xfId="3" applyFont="1" applyFill="1" applyBorder="1" applyAlignment="1">
      <alignment horizontal="center"/>
    </xf>
    <xf numFmtId="0" fontId="15" fillId="15" borderId="1" xfId="3" applyFont="1" applyFill="1" applyBorder="1" applyAlignment="1">
      <alignment horizontal="center"/>
    </xf>
    <xf numFmtId="0" fontId="10" fillId="4" borderId="1" xfId="3" applyFont="1" applyFill="1" applyBorder="1" applyAlignment="1">
      <alignment horizontal="center"/>
    </xf>
    <xf numFmtId="0" fontId="10" fillId="3" borderId="1" xfId="3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 vertical="center" textRotation="90"/>
    </xf>
    <xf numFmtId="169" fontId="0" fillId="2" borderId="1" xfId="2" applyNumberFormat="1" applyFont="1" applyFill="1" applyBorder="1" applyAlignment="1">
      <alignment textRotation="90"/>
    </xf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9" fontId="0" fillId="2" borderId="1" xfId="2" applyNumberFormat="1" applyFont="1" applyFill="1" applyBorder="1" applyAlignment="1">
      <alignment horizontal="center" vertical="center" textRotation="90"/>
    </xf>
    <xf numFmtId="10" fontId="0" fillId="27" borderId="1" xfId="1" applyNumberFormat="1" applyFont="1" applyFill="1" applyBorder="1" applyAlignment="1">
      <alignment horizontal="center" vertical="center" textRotation="90"/>
    </xf>
    <xf numFmtId="169" fontId="0" fillId="27" borderId="1" xfId="2" applyNumberFormat="1" applyFont="1" applyFill="1" applyBorder="1" applyAlignment="1">
      <alignment horizontal="center" vertical="center" textRotation="90"/>
    </xf>
    <xf numFmtId="169" fontId="0" fillId="28" borderId="1" xfId="2" applyNumberFormat="1" applyFont="1" applyFill="1" applyBorder="1" applyAlignment="1">
      <alignment horizontal="center" vertical="center" textRotation="90"/>
    </xf>
    <xf numFmtId="9" fontId="0" fillId="2" borderId="1" xfId="1" applyFont="1" applyFill="1" applyBorder="1" applyAlignment="1">
      <alignment horizontal="center" vertical="center" textRotation="90"/>
    </xf>
    <xf numFmtId="0" fontId="0" fillId="2" borderId="1" xfId="2" applyNumberFormat="1" applyFont="1" applyFill="1" applyBorder="1" applyAlignment="1">
      <alignment horizontal="center" vertical="center" textRotation="90"/>
    </xf>
    <xf numFmtId="9" fontId="0" fillId="27" borderId="1" xfId="1" applyFont="1" applyFill="1" applyBorder="1" applyAlignment="1">
      <alignment horizontal="center" vertical="center" textRotation="90"/>
    </xf>
    <xf numFmtId="170" fontId="0" fillId="27" borderId="1" xfId="2" applyNumberFormat="1" applyFont="1" applyFill="1" applyBorder="1" applyAlignment="1">
      <alignment horizontal="center" vertical="center" textRotation="90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6" fillId="26" borderId="0" xfId="0" applyFont="1" applyFill="1" applyAlignment="1">
      <alignment vertical="center" wrapText="1"/>
    </xf>
    <xf numFmtId="168" fontId="3" fillId="2" borderId="0" xfId="0" applyNumberFormat="1" applyFont="1" applyFill="1" applyAlignment="1">
      <alignment horizontal="center" vertical="center" wrapText="1"/>
    </xf>
    <xf numFmtId="170" fontId="0" fillId="2" borderId="0" xfId="0" applyNumberFormat="1" applyFill="1" applyAlignment="1">
      <alignment horizontal="center" vertical="center" wrapText="1"/>
    </xf>
    <xf numFmtId="168" fontId="0" fillId="2" borderId="0" xfId="0" applyNumberFormat="1" applyFill="1" applyAlignment="1">
      <alignment horizontal="center" vertical="center" wrapText="1"/>
    </xf>
    <xf numFmtId="168" fontId="0" fillId="2" borderId="0" xfId="0" applyNumberFormat="1" applyFill="1" applyAlignment="1">
      <alignment horizontal="center" vertical="center"/>
    </xf>
    <xf numFmtId="169" fontId="16" fillId="2" borderId="0" xfId="2" applyNumberFormat="1" applyFont="1" applyFill="1" applyBorder="1" applyAlignment="1">
      <alignment horizontal="center"/>
    </xf>
    <xf numFmtId="169" fontId="16" fillId="2" borderId="0" xfId="2" applyNumberFormat="1" applyFont="1" applyFill="1" applyBorder="1" applyAlignment="1"/>
    <xf numFmtId="171" fontId="16" fillId="2" borderId="0" xfId="0" quotePrefix="1" applyNumberFormat="1" applyFont="1" applyFill="1" applyAlignment="1">
      <alignment horizontal="center"/>
    </xf>
    <xf numFmtId="171" fontId="16" fillId="2" borderId="0" xfId="0" quotePrefix="1" applyNumberFormat="1" applyFont="1" applyFill="1" applyAlignment="1">
      <alignment horizontal="left"/>
    </xf>
    <xf numFmtId="0" fontId="17" fillId="2" borderId="0" xfId="0" applyFont="1" applyFill="1" applyAlignment="1">
      <alignment wrapText="1"/>
    </xf>
    <xf numFmtId="0" fontId="17" fillId="2" borderId="0" xfId="0" applyFont="1" applyFill="1" applyAlignment="1">
      <alignment vertical="center" wrapText="1"/>
    </xf>
    <xf numFmtId="173" fontId="16" fillId="45" borderId="18" xfId="2" applyNumberFormat="1" applyFont="1" applyFill="1" applyBorder="1" applyAlignment="1">
      <alignment horizontal="center" vertical="center"/>
    </xf>
    <xf numFmtId="173" fontId="16" fillId="45" borderId="18" xfId="0" applyNumberFormat="1" applyFont="1" applyFill="1" applyBorder="1" applyAlignment="1">
      <alignment horizontal="center" vertical="center" wrapText="1"/>
    </xf>
    <xf numFmtId="172" fontId="18" fillId="45" borderId="18" xfId="0" quotePrefix="1" applyNumberFormat="1" applyFont="1" applyFill="1" applyBorder="1" applyAlignment="1">
      <alignment vertical="center" wrapText="1"/>
    </xf>
    <xf numFmtId="172" fontId="18" fillId="45" borderId="0" xfId="0" quotePrefix="1" applyNumberFormat="1" applyFont="1" applyFill="1" applyAlignment="1">
      <alignment horizontal="center" vertical="center" wrapText="1"/>
    </xf>
    <xf numFmtId="172" fontId="18" fillId="45" borderId="18" xfId="0" quotePrefix="1" applyNumberFormat="1" applyFont="1" applyFill="1" applyBorder="1" applyAlignment="1">
      <alignment horizontal="center" vertical="center" wrapText="1"/>
    </xf>
    <xf numFmtId="168" fontId="18" fillId="45" borderId="18" xfId="1" applyNumberFormat="1" applyFont="1" applyFill="1" applyBorder="1" applyAlignment="1">
      <alignment horizontal="center" vertical="center" wrapText="1"/>
    </xf>
    <xf numFmtId="173" fontId="20" fillId="46" borderId="0" xfId="2" applyNumberFormat="1" applyFont="1" applyFill="1" applyBorder="1" applyAlignment="1">
      <alignment horizontal="center" vertical="center"/>
    </xf>
    <xf numFmtId="173" fontId="16" fillId="46" borderId="0" xfId="2" applyNumberFormat="1" applyFont="1" applyFill="1" applyBorder="1" applyAlignment="1">
      <alignment vertical="center"/>
    </xf>
    <xf numFmtId="173" fontId="16" fillId="46" borderId="18" xfId="2" applyNumberFormat="1" applyFont="1" applyFill="1" applyBorder="1" applyAlignment="1">
      <alignment horizontal="center" vertical="center"/>
    </xf>
    <xf numFmtId="171" fontId="16" fillId="46" borderId="0" xfId="0" quotePrefix="1" applyNumberFormat="1" applyFont="1" applyFill="1" applyAlignment="1">
      <alignment horizontal="center" vertical="center"/>
    </xf>
    <xf numFmtId="172" fontId="18" fillId="46" borderId="0" xfId="0" quotePrefix="1" applyNumberFormat="1" applyFont="1" applyFill="1" applyAlignment="1">
      <alignment horizontal="center" vertical="center"/>
    </xf>
    <xf numFmtId="172" fontId="18" fillId="46" borderId="0" xfId="0" quotePrefix="1" applyNumberFormat="1" applyFont="1" applyFill="1" applyAlignment="1">
      <alignment vertical="center"/>
    </xf>
    <xf numFmtId="173" fontId="20" fillId="48" borderId="0" xfId="2" applyNumberFormat="1" applyFont="1" applyFill="1" applyBorder="1" applyAlignment="1">
      <alignment horizontal="center" vertical="center"/>
    </xf>
    <xf numFmtId="173" fontId="16" fillId="48" borderId="18" xfId="2" applyNumberFormat="1" applyFont="1" applyFill="1" applyBorder="1" applyAlignment="1">
      <alignment horizontal="center" vertical="center"/>
    </xf>
    <xf numFmtId="172" fontId="16" fillId="48" borderId="0" xfId="0" quotePrefix="1" applyNumberFormat="1" applyFont="1" applyFill="1" applyAlignment="1">
      <alignment horizontal="center"/>
    </xf>
    <xf numFmtId="172" fontId="16" fillId="48" borderId="18" xfId="0" quotePrefix="1" applyNumberFormat="1" applyFont="1" applyFill="1" applyBorder="1"/>
    <xf numFmtId="171" fontId="16" fillId="48" borderId="18" xfId="0" applyNumberFormat="1" applyFont="1" applyFill="1" applyBorder="1" applyAlignment="1">
      <alignment horizontal="center" vertical="center"/>
    </xf>
    <xf numFmtId="0" fontId="17" fillId="2" borderId="0" xfId="0" applyFont="1" applyFill="1"/>
    <xf numFmtId="173" fontId="20" fillId="50" borderId="19" xfId="2" applyNumberFormat="1" applyFont="1" applyFill="1" applyBorder="1" applyAlignment="1">
      <alignment horizontal="center" vertical="center"/>
    </xf>
    <xf numFmtId="173" fontId="16" fillId="50" borderId="0" xfId="2" applyNumberFormat="1" applyFont="1" applyFill="1" applyBorder="1" applyAlignment="1">
      <alignment horizontal="center" vertical="center"/>
    </xf>
    <xf numFmtId="171" fontId="16" fillId="50" borderId="0" xfId="0" quotePrefix="1" applyNumberFormat="1" applyFont="1" applyFill="1" applyAlignment="1">
      <alignment horizontal="center"/>
    </xf>
    <xf numFmtId="169" fontId="16" fillId="50" borderId="0" xfId="2" applyNumberFormat="1" applyFont="1" applyFill="1" applyBorder="1" applyAlignment="1"/>
    <xf numFmtId="0" fontId="16" fillId="50" borderId="19" xfId="0" applyFont="1" applyFill="1" applyBorder="1" applyAlignment="1">
      <alignment horizontal="center"/>
    </xf>
    <xf numFmtId="173" fontId="20" fillId="52" borderId="19" xfId="2" applyNumberFormat="1" applyFont="1" applyFill="1" applyBorder="1" applyAlignment="1">
      <alignment horizontal="center" vertical="center"/>
    </xf>
    <xf numFmtId="168" fontId="16" fillId="52" borderId="18" xfId="1" applyNumberFormat="1" applyFont="1" applyFill="1" applyBorder="1" applyAlignment="1">
      <alignment horizontal="center"/>
    </xf>
    <xf numFmtId="0" fontId="16" fillId="52" borderId="20" xfId="0" applyFont="1" applyFill="1" applyBorder="1" applyAlignment="1">
      <alignment horizontal="center"/>
    </xf>
    <xf numFmtId="173" fontId="16" fillId="52" borderId="18" xfId="2" applyNumberFormat="1" applyFont="1" applyFill="1" applyBorder="1" applyAlignment="1">
      <alignment horizontal="center" vertical="center"/>
    </xf>
    <xf numFmtId="9" fontId="16" fillId="52" borderId="0" xfId="1" applyFont="1" applyFill="1" applyBorder="1" applyAlignment="1">
      <alignment horizontal="center" vertical="center"/>
    </xf>
    <xf numFmtId="0" fontId="16" fillId="52" borderId="19" xfId="0" applyFont="1" applyFill="1" applyBorder="1" applyAlignment="1">
      <alignment horizontal="center"/>
    </xf>
    <xf numFmtId="0" fontId="16" fillId="52" borderId="18" xfId="0" applyFont="1" applyFill="1" applyBorder="1" applyAlignment="1">
      <alignment horizontal="center"/>
    </xf>
    <xf numFmtId="173" fontId="20" fillId="53" borderId="19" xfId="2" applyNumberFormat="1" applyFont="1" applyFill="1" applyBorder="1" applyAlignment="1">
      <alignment horizontal="center" vertical="center"/>
    </xf>
    <xf numFmtId="173" fontId="16" fillId="53" borderId="0" xfId="2" applyNumberFormat="1" applyFont="1" applyFill="1" applyBorder="1" applyAlignment="1">
      <alignment horizontal="center" vertical="center"/>
    </xf>
    <xf numFmtId="169" fontId="16" fillId="53" borderId="18" xfId="2" applyNumberFormat="1" applyFont="1" applyFill="1" applyBorder="1"/>
    <xf numFmtId="173" fontId="16" fillId="53" borderId="18" xfId="2" applyNumberFormat="1" applyFont="1" applyFill="1" applyBorder="1" applyAlignment="1">
      <alignment horizontal="center" vertical="center"/>
    </xf>
    <xf numFmtId="171" fontId="16" fillId="53" borderId="18" xfId="0" applyNumberFormat="1" applyFont="1" applyFill="1" applyBorder="1" applyAlignment="1">
      <alignment horizontal="center" vertical="center"/>
    </xf>
    <xf numFmtId="0" fontId="16" fillId="53" borderId="19" xfId="0" applyFont="1" applyFill="1" applyBorder="1" applyAlignment="1">
      <alignment horizontal="center"/>
    </xf>
    <xf numFmtId="0" fontId="16" fillId="53" borderId="0" xfId="0" applyFont="1" applyFill="1" applyAlignment="1">
      <alignment horizontal="center"/>
    </xf>
    <xf numFmtId="0" fontId="16" fillId="53" borderId="18" xfId="0" applyFont="1" applyFill="1" applyBorder="1" applyAlignment="1">
      <alignment horizontal="center"/>
    </xf>
    <xf numFmtId="173" fontId="20" fillId="54" borderId="19" xfId="2" applyNumberFormat="1" applyFont="1" applyFill="1" applyBorder="1" applyAlignment="1">
      <alignment horizontal="center" vertical="center"/>
    </xf>
    <xf numFmtId="173" fontId="16" fillId="54" borderId="0" xfId="2" applyNumberFormat="1" applyFont="1" applyFill="1" applyBorder="1" applyAlignment="1">
      <alignment horizontal="center" vertical="center"/>
    </xf>
    <xf numFmtId="0" fontId="16" fillId="54" borderId="0" xfId="0" applyFont="1" applyFill="1" applyAlignment="1">
      <alignment horizontal="center"/>
    </xf>
    <xf numFmtId="9" fontId="16" fillId="54" borderId="0" xfId="0" applyNumberFormat="1" applyFont="1" applyFill="1" applyAlignment="1">
      <alignment horizontal="center"/>
    </xf>
    <xf numFmtId="173" fontId="16" fillId="54" borderId="18" xfId="2" applyNumberFormat="1" applyFont="1" applyFill="1" applyBorder="1" applyAlignment="1">
      <alignment horizontal="center" vertical="center"/>
    </xf>
    <xf numFmtId="0" fontId="16" fillId="54" borderId="19" xfId="0" applyFont="1" applyFill="1" applyBorder="1" applyAlignment="1">
      <alignment horizontal="center"/>
    </xf>
    <xf numFmtId="171" fontId="18" fillId="2" borderId="0" xfId="0" quotePrefix="1" applyNumberFormat="1" applyFont="1" applyFill="1" applyAlignment="1">
      <alignment horizontal="left" vertical="top" wrapText="1"/>
    </xf>
    <xf numFmtId="0" fontId="26" fillId="2" borderId="0" xfId="0" applyFont="1" applyFill="1"/>
    <xf numFmtId="0" fontId="18" fillId="2" borderId="0" xfId="0" applyFont="1" applyFill="1"/>
    <xf numFmtId="10" fontId="19" fillId="2" borderId="0" xfId="1" quotePrefix="1" applyNumberFormat="1" applyFont="1" applyFill="1" applyBorder="1" applyAlignment="1">
      <alignment vertical="center"/>
    </xf>
    <xf numFmtId="0" fontId="27" fillId="2" borderId="0" xfId="0" applyFont="1" applyFill="1"/>
    <xf numFmtId="0" fontId="28" fillId="47" borderId="0" xfId="0" applyFont="1" applyFill="1"/>
    <xf numFmtId="173" fontId="26" fillId="2" borderId="0" xfId="2" applyNumberFormat="1" applyFont="1" applyFill="1" applyBorder="1" applyAlignment="1">
      <alignment vertical="center"/>
    </xf>
    <xf numFmtId="173" fontId="19" fillId="2" borderId="0" xfId="2" applyNumberFormat="1" applyFont="1" applyFill="1" applyBorder="1" applyAlignment="1">
      <alignment vertical="center"/>
    </xf>
    <xf numFmtId="171" fontId="26" fillId="2" borderId="0" xfId="0" quotePrefix="1" applyNumberFormat="1" applyFont="1" applyFill="1" applyAlignment="1">
      <alignment horizontal="left" vertical="top" wrapText="1"/>
    </xf>
    <xf numFmtId="171" fontId="18" fillId="2" borderId="0" xfId="0" quotePrefix="1" applyNumberFormat="1" applyFont="1" applyFill="1" applyAlignment="1">
      <alignment vertical="top" wrapText="1"/>
    </xf>
    <xf numFmtId="173" fontId="19" fillId="2" borderId="0" xfId="0" applyNumberFormat="1" applyFont="1" applyFill="1" applyAlignment="1">
      <alignment horizontal="left"/>
    </xf>
    <xf numFmtId="0" fontId="18" fillId="2" borderId="0" xfId="0" applyFont="1" applyFill="1" applyAlignment="1">
      <alignment horizontal="right"/>
    </xf>
    <xf numFmtId="0" fontId="29" fillId="47" borderId="0" xfId="0" applyFont="1" applyFill="1"/>
    <xf numFmtId="171" fontId="21" fillId="2" borderId="0" xfId="0" quotePrefix="1" applyNumberFormat="1" applyFont="1" applyFill="1" applyAlignment="1">
      <alignment horizontal="left" vertical="top" wrapText="1"/>
    </xf>
    <xf numFmtId="0" fontId="1" fillId="2" borderId="0" xfId="0" applyFont="1" applyFill="1"/>
    <xf numFmtId="173" fontId="21" fillId="2" borderId="0" xfId="2" quotePrefix="1" applyNumberFormat="1" applyFont="1" applyFill="1" applyBorder="1" applyAlignment="1">
      <alignment horizontal="left" vertical="top" wrapText="1"/>
    </xf>
    <xf numFmtId="9" fontId="21" fillId="2" borderId="0" xfId="1" quotePrefix="1" applyFont="1" applyFill="1" applyBorder="1" applyAlignment="1">
      <alignment horizontal="left" vertical="top" wrapText="1"/>
    </xf>
    <xf numFmtId="0" fontId="25" fillId="2" borderId="0" xfId="0" applyFont="1" applyFill="1"/>
    <xf numFmtId="171" fontId="15" fillId="2" borderId="0" xfId="0" quotePrefix="1" applyNumberFormat="1" applyFont="1" applyFill="1" applyAlignment="1">
      <alignment horizontal="left" vertical="top" wrapText="1"/>
    </xf>
    <xf numFmtId="171" fontId="31" fillId="2" borderId="0" xfId="0" quotePrefix="1" applyNumberFormat="1" applyFont="1" applyFill="1" applyAlignment="1">
      <alignment vertical="top" wrapText="1"/>
    </xf>
    <xf numFmtId="0" fontId="32" fillId="2" borderId="0" xfId="0" applyFont="1" applyFill="1" applyAlignment="1">
      <alignment wrapText="1"/>
    </xf>
    <xf numFmtId="165" fontId="33" fillId="2" borderId="0" xfId="0" applyNumberFormat="1" applyFont="1" applyFill="1" applyAlignment="1">
      <alignment vertical="center" wrapText="1"/>
    </xf>
    <xf numFmtId="9" fontId="8" fillId="2" borderId="0" xfId="1" applyFont="1" applyFill="1" applyBorder="1" applyAlignment="1">
      <alignment wrapText="1"/>
    </xf>
    <xf numFmtId="165" fontId="34" fillId="2" borderId="0" xfId="0" applyNumberFormat="1" applyFont="1" applyFill="1" applyAlignment="1">
      <alignment horizontal="right" vertical="center"/>
    </xf>
    <xf numFmtId="0" fontId="35" fillId="2" borderId="0" xfId="0" applyFont="1" applyFill="1" applyAlignment="1">
      <alignment horizontal="right" vertical="center" wrapText="1"/>
    </xf>
    <xf numFmtId="164" fontId="11" fillId="2" borderId="0" xfId="0" applyNumberFormat="1" applyFont="1" applyFill="1" applyAlignment="1">
      <alignment vertical="center" wrapText="1"/>
    </xf>
    <xf numFmtId="0" fontId="8" fillId="2" borderId="0" xfId="0" applyFont="1" applyFill="1" applyAlignment="1">
      <alignment horizontal="right" vertical="center" wrapText="1"/>
    </xf>
    <xf numFmtId="165" fontId="36" fillId="2" borderId="0" xfId="0" applyNumberFormat="1" applyFont="1" applyFill="1" applyAlignment="1">
      <alignment horizontal="right" vertical="center"/>
    </xf>
    <xf numFmtId="165" fontId="8" fillId="2" borderId="0" xfId="0" applyNumberFormat="1" applyFont="1" applyFill="1" applyAlignment="1">
      <alignment vertical="center" wrapText="1"/>
    </xf>
    <xf numFmtId="165" fontId="37" fillId="2" borderId="0" xfId="0" applyNumberFormat="1" applyFont="1" applyFill="1" applyAlignment="1">
      <alignment vertical="center" wrapText="1"/>
    </xf>
    <xf numFmtId="0" fontId="15" fillId="2" borderId="0" xfId="0" applyFont="1" applyFill="1" applyAlignment="1">
      <alignment horizontal="right"/>
    </xf>
    <xf numFmtId="168" fontId="10" fillId="2" borderId="0" xfId="0" applyNumberFormat="1" applyFont="1" applyFill="1" applyAlignment="1">
      <alignment vertical="center" wrapText="1"/>
    </xf>
    <xf numFmtId="166" fontId="36" fillId="2" borderId="0" xfId="0" applyNumberFormat="1" applyFont="1" applyFill="1" applyAlignment="1">
      <alignment horizontal="right" vertical="center"/>
    </xf>
    <xf numFmtId="0" fontId="15" fillId="2" borderId="0" xfId="0" applyFont="1" applyFill="1"/>
    <xf numFmtId="165" fontId="38" fillId="2" borderId="0" xfId="0" applyNumberFormat="1" applyFont="1" applyFill="1" applyAlignment="1">
      <alignment vertical="center" wrapText="1"/>
    </xf>
    <xf numFmtId="165" fontId="9" fillId="2" borderId="0" xfId="0" applyNumberFormat="1" applyFont="1" applyFill="1" applyAlignment="1">
      <alignment vertical="center"/>
    </xf>
    <xf numFmtId="0" fontId="31" fillId="2" borderId="0" xfId="0" applyFont="1" applyFill="1" applyAlignment="1">
      <alignment horizontal="right"/>
    </xf>
    <xf numFmtId="0" fontId="39" fillId="2" borderId="0" xfId="0" applyFont="1" applyFill="1" applyAlignment="1">
      <alignment horizontal="center" vertical="center" wrapText="1"/>
    </xf>
    <xf numFmtId="0" fontId="0" fillId="2" borderId="21" xfId="0" applyFill="1" applyBorder="1"/>
    <xf numFmtId="0" fontId="36" fillId="2" borderId="0" xfId="0" applyFont="1" applyFill="1" applyAlignment="1">
      <alignment horizontal="right"/>
    </xf>
    <xf numFmtId="165" fontId="33" fillId="2" borderId="22" xfId="0" applyNumberFormat="1" applyFont="1" applyFill="1" applyBorder="1" applyAlignment="1">
      <alignment vertical="center" wrapText="1"/>
    </xf>
    <xf numFmtId="9" fontId="8" fillId="2" borderId="23" xfId="1" applyFont="1" applyFill="1" applyBorder="1" applyAlignment="1">
      <alignment wrapText="1"/>
    </xf>
    <xf numFmtId="165" fontId="9" fillId="2" borderId="0" xfId="0" applyNumberFormat="1" applyFont="1" applyFill="1" applyAlignment="1">
      <alignment vertical="center" wrapText="1"/>
    </xf>
    <xf numFmtId="0" fontId="15" fillId="2" borderId="0" xfId="0" applyFont="1" applyFill="1" applyAlignment="1">
      <alignment vertical="center"/>
    </xf>
    <xf numFmtId="165" fontId="10" fillId="31" borderId="24" xfId="0" applyNumberFormat="1" applyFont="1" applyFill="1" applyBorder="1" applyAlignment="1">
      <alignment vertical="center" wrapText="1"/>
    </xf>
    <xf numFmtId="9" fontId="8" fillId="31" borderId="25" xfId="1" applyFont="1" applyFill="1" applyBorder="1" applyAlignment="1">
      <alignment wrapText="1"/>
    </xf>
    <xf numFmtId="165" fontId="10" fillId="2" borderId="26" xfId="0" applyNumberFormat="1" applyFont="1" applyFill="1" applyBorder="1" applyAlignment="1">
      <alignment vertical="center" wrapText="1"/>
    </xf>
    <xf numFmtId="0" fontId="0" fillId="2" borderId="27" xfId="0" applyFill="1" applyBorder="1"/>
    <xf numFmtId="165" fontId="10" fillId="2" borderId="28" xfId="0" applyNumberFormat="1" applyFont="1" applyFill="1" applyBorder="1" applyAlignment="1">
      <alignment vertical="center" wrapText="1"/>
    </xf>
    <xf numFmtId="0" fontId="15" fillId="2" borderId="29" xfId="0" applyFont="1" applyFill="1" applyBorder="1"/>
    <xf numFmtId="165" fontId="8" fillId="31" borderId="26" xfId="0" applyNumberFormat="1" applyFont="1" applyFill="1" applyBorder="1" applyAlignment="1">
      <alignment vertical="center" wrapText="1"/>
    </xf>
    <xf numFmtId="0" fontId="8" fillId="31" borderId="27" xfId="0" applyFont="1" applyFill="1" applyBorder="1" applyAlignment="1">
      <alignment horizontal="left" vertical="center" wrapText="1"/>
    </xf>
    <xf numFmtId="165" fontId="8" fillId="31" borderId="30" xfId="0" applyNumberFormat="1" applyFont="1" applyFill="1" applyBorder="1" applyAlignment="1">
      <alignment vertical="center" wrapText="1"/>
    </xf>
    <xf numFmtId="9" fontId="8" fillId="31" borderId="31" xfId="1" applyFont="1" applyFill="1" applyBorder="1" applyAlignment="1">
      <alignment wrapText="1"/>
    </xf>
    <xf numFmtId="165" fontId="8" fillId="2" borderId="26" xfId="0" applyNumberFormat="1" applyFont="1" applyFill="1" applyBorder="1" applyAlignment="1">
      <alignment vertical="center" wrapText="1"/>
    </xf>
    <xf numFmtId="0" fontId="8" fillId="2" borderId="27" xfId="0" applyFont="1" applyFill="1" applyBorder="1" applyAlignment="1">
      <alignment horizontal="left" vertical="center" wrapText="1"/>
    </xf>
    <xf numFmtId="9" fontId="8" fillId="2" borderId="27" xfId="1" applyFont="1" applyFill="1" applyBorder="1" applyAlignment="1">
      <alignment wrapText="1"/>
    </xf>
    <xf numFmtId="165" fontId="10" fillId="31" borderId="26" xfId="0" applyNumberFormat="1" applyFont="1" applyFill="1" applyBorder="1" applyAlignment="1">
      <alignment vertical="center" wrapText="1"/>
    </xf>
    <xf numFmtId="0" fontId="31" fillId="31" borderId="27" xfId="0" applyFont="1" applyFill="1" applyBorder="1"/>
    <xf numFmtId="9" fontId="8" fillId="31" borderId="27" xfId="1" applyFont="1" applyFill="1" applyBorder="1" applyAlignment="1">
      <alignment wrapText="1"/>
    </xf>
    <xf numFmtId="165" fontId="36" fillId="2" borderId="0" xfId="0" applyNumberFormat="1" applyFont="1" applyFill="1" applyAlignment="1">
      <alignment horizontal="right"/>
    </xf>
    <xf numFmtId="165" fontId="9" fillId="2" borderId="0" xfId="0" applyNumberFormat="1" applyFont="1" applyFill="1"/>
    <xf numFmtId="0" fontId="8" fillId="31" borderId="27" xfId="0" applyFont="1" applyFill="1" applyBorder="1" applyAlignment="1">
      <alignment vertical="center" wrapText="1"/>
    </xf>
    <xf numFmtId="0" fontId="8" fillId="2" borderId="27" xfId="0" applyFont="1" applyFill="1" applyBorder="1" applyAlignment="1">
      <alignment vertical="center" wrapText="1"/>
    </xf>
    <xf numFmtId="0" fontId="36" fillId="31" borderId="27" xfId="0" applyFont="1" applyFill="1" applyBorder="1"/>
    <xf numFmtId="0" fontId="8" fillId="58" borderId="27" xfId="0" applyFont="1" applyFill="1" applyBorder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174" fontId="15" fillId="2" borderId="0" xfId="2" applyNumberFormat="1" applyFont="1" applyFill="1" applyBorder="1" applyAlignment="1">
      <alignment vertical="center"/>
    </xf>
    <xf numFmtId="173" fontId="15" fillId="2" borderId="0" xfId="2" applyNumberFormat="1" applyFont="1" applyFill="1" applyBorder="1" applyAlignment="1">
      <alignment horizontal="left" vertical="center"/>
    </xf>
    <xf numFmtId="0" fontId="15" fillId="2" borderId="0" xfId="0" applyFont="1" applyFill="1" applyAlignment="1">
      <alignment vertical="top" wrapText="1"/>
    </xf>
    <xf numFmtId="0" fontId="41" fillId="2" borderId="0" xfId="0" applyFont="1" applyFill="1" applyAlignment="1">
      <alignment vertical="center"/>
    </xf>
    <xf numFmtId="0" fontId="42" fillId="2" borderId="0" xfId="0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44" fillId="2" borderId="0" xfId="0" applyFont="1" applyFill="1" applyAlignment="1">
      <alignment horizontal="left"/>
    </xf>
    <xf numFmtId="0" fontId="1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1" fontId="0" fillId="14" borderId="2" xfId="0" applyNumberFormat="1" applyFill="1" applyBorder="1" applyAlignment="1">
      <alignment horizontal="center"/>
    </xf>
    <xf numFmtId="0" fontId="45" fillId="2" borderId="2" xfId="4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59" borderId="1" xfId="0" applyFill="1" applyBorder="1" applyAlignment="1">
      <alignment horizontal="center"/>
    </xf>
    <xf numFmtId="0" fontId="3" fillId="37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37" borderId="1" xfId="0" applyFill="1" applyBorder="1" applyAlignment="1">
      <alignment horizontal="center"/>
    </xf>
    <xf numFmtId="0" fontId="0" fillId="3" borderId="1" xfId="0" applyFill="1" applyBorder="1"/>
    <xf numFmtId="0" fontId="15" fillId="61" borderId="1" xfId="0" applyFont="1" applyFill="1" applyBorder="1" applyAlignment="1">
      <alignment horizontal="center"/>
    </xf>
    <xf numFmtId="0" fontId="15" fillId="61" borderId="1" xfId="0" applyFont="1" applyFill="1" applyBorder="1" applyAlignment="1">
      <alignment horizontal="left"/>
    </xf>
    <xf numFmtId="0" fontId="15" fillId="62" borderId="1" xfId="0" applyFont="1" applyFill="1" applyBorder="1" applyAlignment="1">
      <alignment horizontal="left"/>
    </xf>
    <xf numFmtId="0" fontId="9" fillId="60" borderId="1" xfId="0" applyFont="1" applyFill="1" applyBorder="1" applyAlignment="1">
      <alignment horizontal="center"/>
    </xf>
    <xf numFmtId="0" fontId="15" fillId="2" borderId="1" xfId="0" applyFont="1" applyFill="1" applyBorder="1"/>
    <xf numFmtId="0" fontId="0" fillId="2" borderId="35" xfId="0" applyFill="1" applyBorder="1" applyAlignment="1">
      <alignment horizontal="center"/>
    </xf>
    <xf numFmtId="0" fontId="0" fillId="37" borderId="5" xfId="0" applyFill="1" applyBorder="1"/>
    <xf numFmtId="0" fontId="0" fillId="3" borderId="5" xfId="0" applyFill="1" applyBorder="1"/>
    <xf numFmtId="0" fontId="0" fillId="4" borderId="5" xfId="0" applyFill="1" applyBorder="1"/>
    <xf numFmtId="0" fontId="1" fillId="3" borderId="21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10" fillId="60" borderId="6" xfId="0" applyFont="1" applyFill="1" applyBorder="1" applyAlignment="1">
      <alignment horizontal="left"/>
    </xf>
    <xf numFmtId="0" fontId="10" fillId="2" borderId="0" xfId="0" applyFont="1" applyFill="1"/>
    <xf numFmtId="171" fontId="0" fillId="37" borderId="1" xfId="0" quotePrefix="1" applyNumberFormat="1" applyFill="1" applyBorder="1" applyAlignment="1">
      <alignment horizontal="center"/>
    </xf>
    <xf numFmtId="0" fontId="0" fillId="4" borderId="0" xfId="0" applyFill="1"/>
    <xf numFmtId="169" fontId="0" fillId="27" borderId="5" xfId="2" applyNumberFormat="1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23" borderId="2" xfId="0" applyFont="1" applyFill="1" applyBorder="1" applyAlignment="1">
      <alignment horizontal="center" vertical="center"/>
    </xf>
    <xf numFmtId="0" fontId="1" fillId="23" borderId="2" xfId="0" applyFont="1" applyFill="1" applyBorder="1" applyAlignment="1">
      <alignment horizontal="center"/>
    </xf>
    <xf numFmtId="170" fontId="0" fillId="2" borderId="2" xfId="0" applyNumberFormat="1" applyFill="1" applyBorder="1" applyAlignment="1">
      <alignment horizontal="center"/>
    </xf>
    <xf numFmtId="169" fontId="0" fillId="2" borderId="2" xfId="2" applyNumberFormat="1" applyFont="1" applyFill="1" applyBorder="1" applyAlignment="1">
      <alignment horizontal="center"/>
    </xf>
    <xf numFmtId="169" fontId="0" fillId="24" borderId="2" xfId="2" applyNumberFormat="1" applyFont="1" applyFill="1" applyBorder="1" applyAlignment="1">
      <alignment horizontal="center"/>
    </xf>
    <xf numFmtId="10" fontId="0" fillId="27" borderId="2" xfId="1" applyNumberFormat="1" applyFont="1" applyFill="1" applyBorder="1" applyAlignment="1">
      <alignment horizontal="center"/>
    </xf>
    <xf numFmtId="169" fontId="0" fillId="27" borderId="2" xfId="2" applyNumberFormat="1" applyFont="1" applyFill="1" applyBorder="1" applyAlignment="1">
      <alignment horizontal="center"/>
    </xf>
    <xf numFmtId="169" fontId="0" fillId="28" borderId="2" xfId="2" applyNumberFormat="1" applyFont="1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0" fontId="0" fillId="2" borderId="2" xfId="2" applyNumberFormat="1" applyFont="1" applyFill="1" applyBorder="1" applyAlignment="1">
      <alignment horizontal="center"/>
    </xf>
    <xf numFmtId="9" fontId="0" fillId="27" borderId="2" xfId="1" applyFont="1" applyFill="1" applyBorder="1" applyAlignment="1">
      <alignment horizontal="center"/>
    </xf>
    <xf numFmtId="172" fontId="0" fillId="2" borderId="2" xfId="0" quotePrefix="1" applyNumberFormat="1" applyFill="1" applyBorder="1" applyAlignment="1">
      <alignment horizontal="center"/>
    </xf>
    <xf numFmtId="172" fontId="0" fillId="27" borderId="2" xfId="0" quotePrefix="1" applyNumberFormat="1" applyFill="1" applyBorder="1" applyAlignment="1">
      <alignment horizontal="center"/>
    </xf>
    <xf numFmtId="168" fontId="0" fillId="27" borderId="2" xfId="0" applyNumberFormat="1" applyFill="1" applyBorder="1" applyAlignment="1">
      <alignment horizontal="center"/>
    </xf>
    <xf numFmtId="0" fontId="0" fillId="27" borderId="2" xfId="0" applyFill="1" applyBorder="1" applyAlignment="1">
      <alignment horizontal="center"/>
    </xf>
    <xf numFmtId="168" fontId="0" fillId="27" borderId="2" xfId="0" applyNumberFormat="1" applyFill="1" applyBorder="1" applyAlignment="1">
      <alignment horizontal="center" vertical="center" wrapText="1"/>
    </xf>
    <xf numFmtId="170" fontId="0" fillId="27" borderId="2" xfId="2" applyNumberFormat="1" applyFont="1" applyFill="1" applyBorder="1" applyAlignment="1">
      <alignment horizontal="center"/>
    </xf>
    <xf numFmtId="169" fontId="0" fillId="27" borderId="2" xfId="0" applyNumberFormat="1" applyFill="1" applyBorder="1"/>
    <xf numFmtId="1" fontId="0" fillId="27" borderId="2" xfId="0" applyNumberFormat="1" applyFill="1" applyBorder="1" applyAlignment="1">
      <alignment horizontal="center" vertical="center" wrapText="1"/>
    </xf>
    <xf numFmtId="2" fontId="0" fillId="27" borderId="2" xfId="0" applyNumberFormat="1" applyFill="1" applyBorder="1" applyAlignment="1">
      <alignment horizontal="center" vertical="center" wrapText="1"/>
    </xf>
    <xf numFmtId="0" fontId="0" fillId="37" borderId="6" xfId="0" applyFill="1" applyBorder="1"/>
    <xf numFmtId="0" fontId="0" fillId="4" borderId="6" xfId="0" applyFill="1" applyBorder="1"/>
    <xf numFmtId="0" fontId="1" fillId="3" borderId="11" xfId="0" applyFont="1" applyFill="1" applyBorder="1" applyAlignment="1">
      <alignment horizontal="center" vertical="center" textRotation="90"/>
    </xf>
    <xf numFmtId="0" fontId="3" fillId="65" borderId="2" xfId="0" applyFont="1" applyFill="1" applyBorder="1" applyAlignment="1">
      <alignment vertical="center" textRotation="90"/>
    </xf>
    <xf numFmtId="0" fontId="1" fillId="32" borderId="42" xfId="0" applyFont="1" applyFill="1" applyBorder="1" applyAlignment="1">
      <alignment horizontal="center" vertical="center" textRotation="90" wrapText="1"/>
    </xf>
    <xf numFmtId="0" fontId="1" fillId="47" borderId="42" xfId="0" applyFont="1" applyFill="1" applyBorder="1" applyAlignment="1">
      <alignment vertical="center" textRotation="90" wrapText="1"/>
    </xf>
    <xf numFmtId="0" fontId="1" fillId="3" borderId="42" xfId="0" applyFont="1" applyFill="1" applyBorder="1" applyAlignment="1">
      <alignment vertical="center" textRotation="90" wrapText="1"/>
    </xf>
    <xf numFmtId="0" fontId="1" fillId="3" borderId="43" xfId="0" applyFont="1" applyFill="1" applyBorder="1" applyAlignment="1">
      <alignment horizontal="center" vertical="center" textRotation="90" wrapText="1"/>
    </xf>
    <xf numFmtId="0" fontId="1" fillId="33" borderId="2" xfId="0" applyFont="1" applyFill="1" applyBorder="1" applyAlignment="1">
      <alignment vertical="center" textRotation="90"/>
    </xf>
    <xf numFmtId="0" fontId="1" fillId="3" borderId="0" xfId="3" applyFont="1" applyFill="1" applyAlignment="1">
      <alignment horizontal="center"/>
    </xf>
    <xf numFmtId="0" fontId="0" fillId="2" borderId="0" xfId="0" applyFill="1" applyAlignment="1">
      <alignment vertical="center" textRotation="90"/>
    </xf>
    <xf numFmtId="0" fontId="0" fillId="4" borderId="1" xfId="0" applyFill="1" applyBorder="1" applyAlignment="1">
      <alignment vertical="center" textRotation="90"/>
    </xf>
    <xf numFmtId="0" fontId="0" fillId="4" borderId="2" xfId="0" applyFill="1" applyBorder="1" applyAlignment="1">
      <alignment vertical="center" textRotation="90"/>
    </xf>
    <xf numFmtId="0" fontId="0" fillId="2" borderId="1" xfId="0" applyFill="1" applyBorder="1" applyAlignment="1">
      <alignment horizontal="center" vertical="center" textRotation="90"/>
    </xf>
    <xf numFmtId="170" fontId="0" fillId="2" borderId="1" xfId="0" applyNumberFormat="1" applyFill="1" applyBorder="1" applyAlignment="1">
      <alignment horizontal="center" vertical="center" textRotation="90"/>
    </xf>
    <xf numFmtId="170" fontId="0" fillId="44" borderId="1" xfId="0" applyNumberFormat="1" applyFill="1" applyBorder="1" applyAlignment="1">
      <alignment horizontal="center" vertical="center" textRotation="90"/>
    </xf>
    <xf numFmtId="0" fontId="0" fillId="19" borderId="1" xfId="0" applyFill="1" applyBorder="1" applyAlignment="1">
      <alignment horizontal="center" vertical="center" textRotation="90"/>
    </xf>
    <xf numFmtId="172" fontId="0" fillId="2" borderId="1" xfId="0" quotePrefix="1" applyNumberFormat="1" applyFill="1" applyBorder="1" applyAlignment="1">
      <alignment horizontal="center" vertical="center" textRotation="90"/>
    </xf>
    <xf numFmtId="172" fontId="0" fillId="27" borderId="1" xfId="0" quotePrefix="1" applyNumberFormat="1" applyFill="1" applyBorder="1" applyAlignment="1">
      <alignment horizontal="center" vertical="center" textRotation="90"/>
    </xf>
    <xf numFmtId="168" fontId="0" fillId="27" borderId="1" xfId="0" applyNumberFormat="1" applyFill="1" applyBorder="1" applyAlignment="1">
      <alignment horizontal="center" vertical="center" textRotation="90"/>
    </xf>
    <xf numFmtId="0" fontId="0" fillId="27" borderId="1" xfId="0" applyFill="1" applyBorder="1" applyAlignment="1">
      <alignment horizontal="center" vertical="center" textRotation="90"/>
    </xf>
    <xf numFmtId="168" fontId="0" fillId="27" borderId="1" xfId="0" applyNumberFormat="1" applyFill="1" applyBorder="1" applyAlignment="1">
      <alignment horizontal="center" vertical="center" textRotation="90" wrapText="1"/>
    </xf>
    <xf numFmtId="169" fontId="0" fillId="27" borderId="1" xfId="0" applyNumberFormat="1" applyFill="1" applyBorder="1" applyAlignment="1">
      <alignment horizontal="center" vertical="center" textRotation="90"/>
    </xf>
    <xf numFmtId="1" fontId="0" fillId="27" borderId="1" xfId="0" applyNumberFormat="1" applyFill="1" applyBorder="1" applyAlignment="1">
      <alignment horizontal="center" vertical="center" textRotation="90" wrapText="1"/>
    </xf>
    <xf numFmtId="2" fontId="0" fillId="27" borderId="1" xfId="0" applyNumberFormat="1" applyFill="1" applyBorder="1" applyAlignment="1">
      <alignment horizontal="center" vertical="center" textRotation="90" wrapText="1"/>
    </xf>
    <xf numFmtId="0" fontId="0" fillId="2" borderId="0" xfId="0" applyFill="1" applyAlignment="1">
      <alignment textRotation="90"/>
    </xf>
    <xf numFmtId="0" fontId="47" fillId="3" borderId="16" xfId="3" applyFont="1" applyFill="1" applyBorder="1" applyAlignment="1">
      <alignment horizontal="center" vertical="center" textRotation="90"/>
    </xf>
    <xf numFmtId="0" fontId="47" fillId="3" borderId="15" xfId="3" applyFont="1" applyFill="1" applyBorder="1" applyAlignment="1">
      <alignment horizontal="center" vertical="center" textRotation="90"/>
    </xf>
    <xf numFmtId="0" fontId="47" fillId="3" borderId="14" xfId="3" applyFont="1" applyFill="1" applyBorder="1" applyAlignment="1">
      <alignment horizontal="center" vertical="center" textRotation="90"/>
    </xf>
    <xf numFmtId="0" fontId="47" fillId="3" borderId="13" xfId="3" applyFont="1" applyFill="1" applyBorder="1" applyAlignment="1">
      <alignment horizontal="center" vertical="center" textRotation="90"/>
    </xf>
    <xf numFmtId="0" fontId="48" fillId="2" borderId="0" xfId="3" applyFont="1" applyFill="1" applyAlignment="1">
      <alignment horizontal="center" textRotation="90"/>
    </xf>
    <xf numFmtId="0" fontId="49" fillId="2" borderId="0" xfId="3" applyFont="1" applyFill="1" applyAlignment="1">
      <alignment textRotation="90"/>
    </xf>
    <xf numFmtId="0" fontId="49" fillId="2" borderId="0" xfId="3" applyFont="1" applyFill="1"/>
    <xf numFmtId="0" fontId="0" fillId="2" borderId="0" xfId="0" applyFill="1" applyAlignment="1">
      <alignment horizontal="center" vertical="center" textRotation="90"/>
    </xf>
    <xf numFmtId="0" fontId="6" fillId="9" borderId="1" xfId="0" applyFont="1" applyFill="1" applyBorder="1" applyAlignment="1">
      <alignment vertical="center"/>
    </xf>
    <xf numFmtId="0" fontId="0" fillId="26" borderId="1" xfId="0" applyFill="1" applyBorder="1"/>
    <xf numFmtId="0" fontId="7" fillId="17" borderId="1" xfId="0" applyFont="1" applyFill="1" applyBorder="1" applyAlignment="1">
      <alignment vertical="center"/>
    </xf>
    <xf numFmtId="0" fontId="7" fillId="17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right" vertical="center"/>
    </xf>
    <xf numFmtId="0" fontId="0" fillId="20" borderId="1" xfId="0" applyFill="1" applyBorder="1"/>
    <xf numFmtId="9" fontId="7" fillId="20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textRotation="90"/>
    </xf>
    <xf numFmtId="0" fontId="0" fillId="4" borderId="1" xfId="0" applyFill="1" applyBorder="1" applyAlignment="1">
      <alignment horizontal="center" vertical="center" textRotation="90"/>
    </xf>
    <xf numFmtId="0" fontId="1" fillId="26" borderId="1" xfId="0" applyFont="1" applyFill="1" applyBorder="1" applyAlignment="1">
      <alignment horizontal="center" vertical="center" textRotation="90" wrapText="1"/>
    </xf>
    <xf numFmtId="0" fontId="1" fillId="43" borderId="1" xfId="0" applyFont="1" applyFill="1" applyBorder="1" applyAlignment="1">
      <alignment horizontal="center" vertical="center" textRotation="90"/>
    </xf>
    <xf numFmtId="0" fontId="0" fillId="16" borderId="1" xfId="0" applyFill="1" applyBorder="1" applyAlignment="1">
      <alignment horizontal="center" vertical="center" textRotation="90"/>
    </xf>
    <xf numFmtId="0" fontId="0" fillId="17" borderId="1" xfId="0" applyFill="1" applyBorder="1" applyAlignment="1">
      <alignment horizontal="center" vertical="center" textRotation="90"/>
    </xf>
    <xf numFmtId="0" fontId="0" fillId="21" borderId="1" xfId="0" applyFill="1" applyBorder="1" applyAlignment="1">
      <alignment horizontal="center" vertical="center" textRotation="90"/>
    </xf>
    <xf numFmtId="0" fontId="1" fillId="18" borderId="1" xfId="0" applyFont="1" applyFill="1" applyBorder="1" applyAlignment="1">
      <alignment horizontal="center" vertical="center" textRotation="90"/>
    </xf>
    <xf numFmtId="9" fontId="0" fillId="20" borderId="1" xfId="0" applyNumberFormat="1" applyFill="1" applyBorder="1" applyAlignment="1">
      <alignment horizontal="center" vertical="center" textRotation="90" wrapText="1"/>
    </xf>
    <xf numFmtId="168" fontId="1" fillId="22" borderId="1" xfId="0" applyNumberFormat="1" applyFont="1" applyFill="1" applyBorder="1" applyAlignment="1">
      <alignment horizontal="center" vertical="center" textRotation="90" wrapText="1"/>
    </xf>
    <xf numFmtId="9" fontId="1" fillId="22" borderId="1" xfId="0" applyNumberFormat="1" applyFont="1" applyFill="1" applyBorder="1" applyAlignment="1">
      <alignment horizontal="center" vertical="center" textRotation="90" wrapText="1"/>
    </xf>
    <xf numFmtId="168" fontId="0" fillId="2" borderId="1" xfId="0" applyNumberFormat="1" applyFill="1" applyBorder="1" applyAlignment="1">
      <alignment horizontal="center" vertical="center" textRotation="90"/>
    </xf>
    <xf numFmtId="168" fontId="0" fillId="2" borderId="1" xfId="0" applyNumberFormat="1" applyFill="1" applyBorder="1" applyAlignment="1">
      <alignment horizontal="center" vertical="center" textRotation="90" wrapText="1"/>
    </xf>
    <xf numFmtId="170" fontId="0" fillId="2" borderId="1" xfId="0" applyNumberFormat="1" applyFill="1" applyBorder="1" applyAlignment="1">
      <alignment horizontal="center" vertical="center" textRotation="90" wrapText="1"/>
    </xf>
    <xf numFmtId="168" fontId="3" fillId="2" borderId="1" xfId="0" applyNumberFormat="1" applyFont="1" applyFill="1" applyBorder="1" applyAlignment="1">
      <alignment horizontal="center" vertical="center" textRotation="90" wrapText="1"/>
    </xf>
    <xf numFmtId="0" fontId="1" fillId="25" borderId="1" xfId="0" applyFont="1" applyFill="1" applyBorder="1" applyAlignment="1">
      <alignment horizontal="center" vertical="center" textRotation="90"/>
    </xf>
    <xf numFmtId="0" fontId="1" fillId="9" borderId="1" xfId="0" applyFont="1" applyFill="1" applyBorder="1" applyAlignment="1">
      <alignment horizontal="center" vertical="center" textRotation="90"/>
    </xf>
    <xf numFmtId="0" fontId="0" fillId="24" borderId="1" xfId="0" applyFill="1" applyBorder="1" applyAlignment="1">
      <alignment horizontal="center" vertical="center" textRotation="90"/>
    </xf>
    <xf numFmtId="0" fontId="0" fillId="14" borderId="1" xfId="0" applyFill="1" applyBorder="1"/>
    <xf numFmtId="0" fontId="1" fillId="17" borderId="1" xfId="0" applyFont="1" applyFill="1" applyBorder="1"/>
    <xf numFmtId="0" fontId="1" fillId="3" borderId="1" xfId="0" applyFont="1" applyFill="1" applyBorder="1"/>
    <xf numFmtId="169" fontId="0" fillId="59" borderId="1" xfId="2" applyNumberFormat="1" applyFont="1" applyFill="1" applyBorder="1" applyAlignment="1">
      <alignment horizontal="center" vertical="center" textRotation="90"/>
    </xf>
    <xf numFmtId="9" fontId="1" fillId="3" borderId="1" xfId="0" applyNumberFormat="1" applyFont="1" applyFill="1" applyBorder="1" applyAlignment="1">
      <alignment horizontal="center"/>
    </xf>
    <xf numFmtId="175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43" borderId="5" xfId="0" applyFont="1" applyFill="1" applyBorder="1" applyAlignment="1">
      <alignment vertical="center" textRotation="90"/>
    </xf>
    <xf numFmtId="0" fontId="3" fillId="4" borderId="1" xfId="0" applyFont="1" applyFill="1" applyBorder="1" applyAlignment="1">
      <alignment horizontal="center" textRotation="90"/>
    </xf>
    <xf numFmtId="0" fontId="50" fillId="4" borderId="1" xfId="0" applyFont="1" applyFill="1" applyBorder="1"/>
    <xf numFmtId="0" fontId="50" fillId="3" borderId="1" xfId="0" applyFont="1" applyFill="1" applyBorder="1"/>
    <xf numFmtId="0" fontId="49" fillId="37" borderId="1" xfId="3" applyFont="1" applyFill="1" applyBorder="1"/>
    <xf numFmtId="0" fontId="49" fillId="4" borderId="1" xfId="3" applyFont="1" applyFill="1" applyBorder="1"/>
    <xf numFmtId="0" fontId="49" fillId="3" borderId="1" xfId="3" applyFont="1" applyFill="1" applyBorder="1"/>
    <xf numFmtId="0" fontId="0" fillId="66" borderId="0" xfId="0" applyFill="1"/>
    <xf numFmtId="0" fontId="1" fillId="67" borderId="1" xfId="0" applyFont="1" applyFill="1" applyBorder="1" applyAlignment="1">
      <alignment horizontal="center" vertical="center" textRotation="90"/>
    </xf>
    <xf numFmtId="0" fontId="1" fillId="68" borderId="1" xfId="0" applyFont="1" applyFill="1" applyBorder="1" applyAlignment="1">
      <alignment horizontal="center" vertical="center" textRotation="90"/>
    </xf>
    <xf numFmtId="0" fontId="1" fillId="68" borderId="42" xfId="0" applyFont="1" applyFill="1" applyBorder="1" applyAlignment="1">
      <alignment vertical="center" textRotation="90" wrapText="1"/>
    </xf>
    <xf numFmtId="0" fontId="7" fillId="4" borderId="1" xfId="0" applyFont="1" applyFill="1" applyBorder="1"/>
    <xf numFmtId="169" fontId="0" fillId="52" borderId="1" xfId="2" applyNumberFormat="1" applyFont="1" applyFill="1" applyBorder="1" applyAlignment="1">
      <alignment horizontal="center" vertical="center" textRotation="90"/>
    </xf>
    <xf numFmtId="0" fontId="1" fillId="3" borderId="11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9" fontId="6" fillId="22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6" fillId="25" borderId="0" xfId="0" applyFont="1" applyFill="1" applyAlignment="1">
      <alignment horizontal="center"/>
    </xf>
    <xf numFmtId="0" fontId="12" fillId="34" borderId="11" xfId="3" applyFont="1" applyFill="1" applyBorder="1" applyAlignment="1">
      <alignment horizontal="center"/>
    </xf>
    <xf numFmtId="0" fontId="12" fillId="34" borderId="10" xfId="3" applyFont="1" applyFill="1" applyBorder="1" applyAlignment="1">
      <alignment horizontal="center"/>
    </xf>
    <xf numFmtId="0" fontId="7" fillId="16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5" borderId="0" xfId="0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9" fillId="63" borderId="2" xfId="0" applyFont="1" applyFill="1" applyBorder="1" applyAlignment="1">
      <alignment horizontal="center" vertical="center"/>
    </xf>
    <xf numFmtId="0" fontId="9" fillId="63" borderId="4" xfId="0" applyFont="1" applyFill="1" applyBorder="1" applyAlignment="1">
      <alignment horizontal="center" vertical="center"/>
    </xf>
    <xf numFmtId="0" fontId="9" fillId="61" borderId="1" xfId="0" applyFont="1" applyFill="1" applyBorder="1" applyAlignment="1">
      <alignment horizontal="center" vertical="center"/>
    </xf>
    <xf numFmtId="0" fontId="15" fillId="60" borderId="1" xfId="0" applyFont="1" applyFill="1" applyBorder="1" applyAlignment="1">
      <alignment horizontal="center" vertical="center"/>
    </xf>
    <xf numFmtId="0" fontId="9" fillId="62" borderId="1" xfId="0" applyFont="1" applyFill="1" applyBorder="1" applyAlignment="1">
      <alignment horizontal="center" vertical="center"/>
    </xf>
    <xf numFmtId="0" fontId="15" fillId="60" borderId="2" xfId="0" applyFont="1" applyFill="1" applyBorder="1" applyAlignment="1">
      <alignment horizontal="center" vertical="center" wrapText="1"/>
    </xf>
    <xf numFmtId="0" fontId="15" fillId="60" borderId="3" xfId="0" applyFont="1" applyFill="1" applyBorder="1" applyAlignment="1">
      <alignment horizontal="center" vertical="center" wrapText="1"/>
    </xf>
    <xf numFmtId="0" fontId="15" fillId="60" borderId="4" xfId="0" applyFont="1" applyFill="1" applyBorder="1" applyAlignment="1">
      <alignment horizontal="center" vertical="center" wrapText="1"/>
    </xf>
    <xf numFmtId="0" fontId="15" fillId="60" borderId="2" xfId="0" applyFont="1" applyFill="1" applyBorder="1" applyAlignment="1">
      <alignment horizontal="center" vertical="center"/>
    </xf>
    <xf numFmtId="0" fontId="15" fillId="60" borderId="3" xfId="0" applyFont="1" applyFill="1" applyBorder="1" applyAlignment="1">
      <alignment horizontal="center" vertical="center"/>
    </xf>
    <xf numFmtId="0" fontId="15" fillId="60" borderId="4" xfId="0" applyFont="1" applyFill="1" applyBorder="1" applyAlignment="1">
      <alignment horizontal="center" vertical="center"/>
    </xf>
    <xf numFmtId="0" fontId="15" fillId="60" borderId="1" xfId="0" applyFont="1" applyFill="1" applyBorder="1" applyAlignment="1">
      <alignment horizontal="center" vertical="center" wrapText="1"/>
    </xf>
    <xf numFmtId="0" fontId="1" fillId="47" borderId="44" xfId="0" applyFont="1" applyFill="1" applyBorder="1" applyAlignment="1">
      <alignment horizontal="center" vertical="center"/>
    </xf>
    <xf numFmtId="0" fontId="1" fillId="47" borderId="45" xfId="0" applyFont="1" applyFill="1" applyBorder="1" applyAlignment="1">
      <alignment horizontal="center" vertical="center"/>
    </xf>
    <xf numFmtId="0" fontId="1" fillId="47" borderId="46" xfId="0" applyFont="1" applyFill="1" applyBorder="1" applyAlignment="1">
      <alignment horizontal="center" vertical="center"/>
    </xf>
    <xf numFmtId="0" fontId="1" fillId="68" borderId="44" xfId="0" applyFont="1" applyFill="1" applyBorder="1" applyAlignment="1">
      <alignment horizontal="center" vertical="center"/>
    </xf>
    <xf numFmtId="0" fontId="1" fillId="68" borderId="45" xfId="0" applyFont="1" applyFill="1" applyBorder="1" applyAlignment="1">
      <alignment horizontal="center" vertical="center"/>
    </xf>
    <xf numFmtId="0" fontId="1" fillId="68" borderId="46" xfId="0" applyFont="1" applyFill="1" applyBorder="1" applyAlignment="1">
      <alignment horizontal="center" vertical="center"/>
    </xf>
    <xf numFmtId="0" fontId="3" fillId="65" borderId="5" xfId="0" applyFont="1" applyFill="1" applyBorder="1" applyAlignment="1">
      <alignment horizontal="center" vertical="center"/>
    </xf>
    <xf numFmtId="0" fontId="3" fillId="65" borderId="6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textRotation="90"/>
    </xf>
    <xf numFmtId="0" fontId="6" fillId="3" borderId="3" xfId="0" applyFont="1" applyFill="1" applyBorder="1" applyAlignment="1">
      <alignment horizontal="center" vertical="center" textRotation="90"/>
    </xf>
    <xf numFmtId="0" fontId="6" fillId="3" borderId="4" xfId="0" applyFont="1" applyFill="1" applyBorder="1" applyAlignment="1">
      <alignment horizontal="center" vertical="center" textRotation="90"/>
    </xf>
    <xf numFmtId="0" fontId="6" fillId="25" borderId="5" xfId="0" applyFont="1" applyFill="1" applyBorder="1" applyAlignment="1">
      <alignment horizontal="center" vertical="center"/>
    </xf>
    <xf numFmtId="0" fontId="6" fillId="25" borderId="8" xfId="0" applyFont="1" applyFill="1" applyBorder="1" applyAlignment="1">
      <alignment horizontal="center" vertical="center"/>
    </xf>
    <xf numFmtId="0" fontId="6" fillId="25" borderId="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textRotation="90"/>
    </xf>
    <xf numFmtId="0" fontId="1" fillId="3" borderId="12" xfId="0" applyFont="1" applyFill="1" applyBorder="1" applyAlignment="1">
      <alignment horizontal="center" vertical="center" textRotation="90"/>
    </xf>
    <xf numFmtId="0" fontId="1" fillId="3" borderId="39" xfId="0" applyFont="1" applyFill="1" applyBorder="1" applyAlignment="1">
      <alignment horizontal="center" vertical="center" textRotation="90"/>
    </xf>
    <xf numFmtId="0" fontId="1" fillId="3" borderId="10" xfId="0" applyFont="1" applyFill="1" applyBorder="1" applyAlignment="1">
      <alignment horizontal="center" vertical="center" textRotation="90"/>
    </xf>
    <xf numFmtId="0" fontId="1" fillId="3" borderId="40" xfId="0" applyFont="1" applyFill="1" applyBorder="1" applyAlignment="1">
      <alignment horizontal="center" vertical="center" textRotation="90"/>
    </xf>
    <xf numFmtId="0" fontId="3" fillId="65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textRotation="90"/>
    </xf>
    <xf numFmtId="0" fontId="3" fillId="4" borderId="35" xfId="0" applyFont="1" applyFill="1" applyBorder="1" applyAlignment="1">
      <alignment horizontal="center" vertical="center" textRotation="90"/>
    </xf>
    <xf numFmtId="0" fontId="0" fillId="4" borderId="2" xfId="0" applyFill="1" applyBorder="1" applyAlignment="1">
      <alignment horizontal="center" vertical="center" textRotation="90"/>
    </xf>
    <xf numFmtId="0" fontId="0" fillId="4" borderId="3" xfId="0" applyFill="1" applyBorder="1" applyAlignment="1">
      <alignment horizontal="center" vertical="center" textRotation="90"/>
    </xf>
    <xf numFmtId="0" fontId="1" fillId="3" borderId="41" xfId="0" applyFont="1" applyFill="1" applyBorder="1" applyAlignment="1">
      <alignment horizontal="center" vertical="center" textRotation="90"/>
    </xf>
    <xf numFmtId="0" fontId="1" fillId="3" borderId="42" xfId="0" applyFont="1" applyFill="1" applyBorder="1" applyAlignment="1">
      <alignment horizontal="center" vertical="center" textRotation="90"/>
    </xf>
    <xf numFmtId="0" fontId="3" fillId="63" borderId="1" xfId="0" applyFont="1" applyFill="1" applyBorder="1" applyAlignment="1">
      <alignment horizontal="center" vertical="center" textRotation="90"/>
    </xf>
    <xf numFmtId="0" fontId="3" fillId="63" borderId="2" xfId="0" applyFont="1" applyFill="1" applyBorder="1" applyAlignment="1">
      <alignment horizontal="center" vertical="center" textRotation="90"/>
    </xf>
    <xf numFmtId="0" fontId="1" fillId="8" borderId="1" xfId="0" applyFont="1" applyFill="1" applyBorder="1" applyAlignment="1">
      <alignment horizontal="center" vertical="center" textRotation="90"/>
    </xf>
    <xf numFmtId="0" fontId="1" fillId="8" borderId="2" xfId="0" applyFont="1" applyFill="1" applyBorder="1" applyAlignment="1">
      <alignment horizontal="center" vertical="center" textRotation="90"/>
    </xf>
    <xf numFmtId="0" fontId="1" fillId="3" borderId="2" xfId="0" applyFont="1" applyFill="1" applyBorder="1" applyAlignment="1">
      <alignment horizontal="center" vertical="center" textRotation="90"/>
    </xf>
    <xf numFmtId="0" fontId="1" fillId="3" borderId="3" xfId="0" applyFont="1" applyFill="1" applyBorder="1" applyAlignment="1">
      <alignment horizontal="center" vertical="center" textRotation="90"/>
    </xf>
    <xf numFmtId="0" fontId="1" fillId="3" borderId="43" xfId="0" applyFont="1" applyFill="1" applyBorder="1" applyAlignment="1">
      <alignment horizontal="center" vertical="center" textRotation="90"/>
    </xf>
    <xf numFmtId="0" fontId="1" fillId="32" borderId="36" xfId="0" applyFont="1" applyFill="1" applyBorder="1" applyAlignment="1">
      <alignment horizontal="center" vertical="center" textRotation="90" wrapText="1"/>
    </xf>
    <xf numFmtId="0" fontId="1" fillId="32" borderId="41" xfId="0" applyFont="1" applyFill="1" applyBorder="1" applyAlignment="1">
      <alignment horizontal="center" vertical="center" textRotation="90" wrapText="1"/>
    </xf>
    <xf numFmtId="0" fontId="1" fillId="32" borderId="37" xfId="0" applyFont="1" applyFill="1" applyBorder="1" applyAlignment="1">
      <alignment horizontal="center" vertical="center" textRotation="90" wrapText="1"/>
    </xf>
    <xf numFmtId="0" fontId="1" fillId="32" borderId="42" xfId="0" applyFont="1" applyFill="1" applyBorder="1" applyAlignment="1">
      <alignment horizontal="center" vertical="center" textRotation="90" wrapText="1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33" borderId="1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2" borderId="37" xfId="0" applyFont="1" applyFill="1" applyBorder="1" applyAlignment="1">
      <alignment horizontal="center" vertical="center" wrapText="1"/>
    </xf>
    <xf numFmtId="0" fontId="3" fillId="65" borderId="2" xfId="0" applyFont="1" applyFill="1" applyBorder="1" applyAlignment="1">
      <alignment horizontal="center" vertical="center" textRotation="90"/>
    </xf>
    <xf numFmtId="0" fontId="3" fillId="65" borderId="4" xfId="0" applyFont="1" applyFill="1" applyBorder="1" applyAlignment="1">
      <alignment horizontal="center" vertical="center" textRotation="90"/>
    </xf>
    <xf numFmtId="0" fontId="1" fillId="11" borderId="1" xfId="0" applyFont="1" applyFill="1" applyBorder="1" applyAlignment="1">
      <alignment horizontal="center" vertical="center" textRotation="90"/>
    </xf>
    <xf numFmtId="0" fontId="1" fillId="64" borderId="1" xfId="0" applyFont="1" applyFill="1" applyBorder="1" applyAlignment="1">
      <alignment horizontal="center" vertical="center" textRotation="90"/>
    </xf>
    <xf numFmtId="0" fontId="1" fillId="11" borderId="2" xfId="0" applyFont="1" applyFill="1" applyBorder="1" applyAlignment="1">
      <alignment horizontal="center" vertical="center" textRotation="90"/>
    </xf>
    <xf numFmtId="0" fontId="3" fillId="42" borderId="1" xfId="0" applyFont="1" applyFill="1" applyBorder="1" applyAlignment="1">
      <alignment horizontal="center" vertical="center" textRotation="90"/>
    </xf>
    <xf numFmtId="0" fontId="3" fillId="42" borderId="2" xfId="0" applyFont="1" applyFill="1" applyBorder="1" applyAlignment="1">
      <alignment horizontal="center" vertical="center" textRotation="90"/>
    </xf>
    <xf numFmtId="0" fontId="6" fillId="43" borderId="5" xfId="0" applyFont="1" applyFill="1" applyBorder="1" applyAlignment="1">
      <alignment horizontal="center" vertical="center"/>
    </xf>
    <xf numFmtId="0" fontId="6" fillId="43" borderId="8" xfId="0" applyFont="1" applyFill="1" applyBorder="1" applyAlignment="1">
      <alignment horizontal="center" vertical="center"/>
    </xf>
    <xf numFmtId="0" fontId="6" fillId="43" borderId="6" xfId="0" applyFont="1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0" fillId="20" borderId="6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/>
    </xf>
    <xf numFmtId="0" fontId="1" fillId="6" borderId="1" xfId="0" applyFont="1" applyFill="1" applyBorder="1" applyAlignment="1">
      <alignment horizontal="center" vertical="center" textRotation="90"/>
    </xf>
    <xf numFmtId="0" fontId="6" fillId="18" borderId="1" xfId="0" applyFont="1" applyFill="1" applyBorder="1" applyAlignment="1">
      <alignment horizontal="center" vertical="center"/>
    </xf>
    <xf numFmtId="9" fontId="6" fillId="22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textRotation="90"/>
    </xf>
    <xf numFmtId="0" fontId="7" fillId="21" borderId="1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textRotation="90"/>
    </xf>
    <xf numFmtId="0" fontId="1" fillId="26" borderId="5" xfId="0" applyFont="1" applyFill="1" applyBorder="1" applyAlignment="1">
      <alignment horizontal="center" vertical="center" textRotation="90"/>
    </xf>
    <xf numFmtId="0" fontId="1" fillId="26" borderId="6" xfId="0" applyFont="1" applyFill="1" applyBorder="1" applyAlignment="1">
      <alignment horizontal="center" vertical="center" textRotation="90"/>
    </xf>
    <xf numFmtId="0" fontId="1" fillId="43" borderId="5" xfId="0" applyFont="1" applyFill="1" applyBorder="1" applyAlignment="1">
      <alignment horizontal="center" vertical="center" textRotation="90"/>
    </xf>
    <xf numFmtId="0" fontId="1" fillId="43" borderId="6" xfId="0" applyFont="1" applyFill="1" applyBorder="1" applyAlignment="1">
      <alignment horizontal="center" vertical="center" textRotation="90"/>
    </xf>
    <xf numFmtId="0" fontId="1" fillId="68" borderId="5" xfId="0" applyFont="1" applyFill="1" applyBorder="1" applyAlignment="1">
      <alignment horizontal="center" vertical="center" textRotation="90"/>
    </xf>
    <xf numFmtId="0" fontId="1" fillId="68" borderId="6" xfId="0" applyFont="1" applyFill="1" applyBorder="1" applyAlignment="1">
      <alignment horizontal="center" vertical="center" textRotation="90"/>
    </xf>
    <xf numFmtId="0" fontId="1" fillId="67" borderId="5" xfId="0" applyFont="1" applyFill="1" applyBorder="1" applyAlignment="1">
      <alignment horizontal="center" vertical="center" textRotation="90"/>
    </xf>
    <xf numFmtId="0" fontId="1" fillId="67" borderId="6" xfId="0" applyFont="1" applyFill="1" applyBorder="1" applyAlignment="1">
      <alignment horizontal="center" vertical="center" textRotation="90"/>
    </xf>
    <xf numFmtId="0" fontId="6" fillId="67" borderId="5" xfId="0" applyFont="1" applyFill="1" applyBorder="1" applyAlignment="1">
      <alignment horizontal="center" vertical="center"/>
    </xf>
    <xf numFmtId="0" fontId="6" fillId="67" borderId="8" xfId="0" applyFont="1" applyFill="1" applyBorder="1" applyAlignment="1">
      <alignment horizontal="center" vertical="center"/>
    </xf>
    <xf numFmtId="0" fontId="6" fillId="67" borderId="6" xfId="0" applyFont="1" applyFill="1" applyBorder="1" applyAlignment="1">
      <alignment horizontal="center" vertical="center"/>
    </xf>
    <xf numFmtId="171" fontId="16" fillId="46" borderId="0" xfId="0" quotePrefix="1" applyNumberFormat="1" applyFont="1" applyFill="1" applyAlignment="1">
      <alignment horizontal="center" vertical="center"/>
    </xf>
    <xf numFmtId="171" fontId="19" fillId="4" borderId="0" xfId="0" quotePrefix="1" applyNumberFormat="1" applyFont="1" applyFill="1" applyAlignment="1">
      <alignment horizontal="center" vertical="center"/>
    </xf>
    <xf numFmtId="168" fontId="18" fillId="45" borderId="19" xfId="1" applyNumberFormat="1" applyFont="1" applyFill="1" applyBorder="1" applyAlignment="1">
      <alignment horizontal="center" vertical="center" wrapText="1"/>
    </xf>
    <xf numFmtId="168" fontId="18" fillId="45" borderId="18" xfId="1" applyNumberFormat="1" applyFont="1" applyFill="1" applyBorder="1" applyAlignment="1">
      <alignment horizontal="center" vertical="center" wrapText="1"/>
    </xf>
    <xf numFmtId="173" fontId="16" fillId="45" borderId="19" xfId="0" applyNumberFormat="1" applyFont="1" applyFill="1" applyBorder="1" applyAlignment="1">
      <alignment horizontal="center" vertical="center" wrapText="1"/>
    </xf>
    <xf numFmtId="173" fontId="16" fillId="45" borderId="18" xfId="0" applyNumberFormat="1" applyFont="1" applyFill="1" applyBorder="1" applyAlignment="1">
      <alignment horizontal="center" vertical="center" wrapText="1"/>
    </xf>
    <xf numFmtId="168" fontId="18" fillId="46" borderId="0" xfId="1" applyNumberFormat="1" applyFont="1" applyFill="1" applyBorder="1" applyAlignment="1">
      <alignment horizontal="center" vertical="center"/>
    </xf>
    <xf numFmtId="168" fontId="18" fillId="46" borderId="18" xfId="1" applyNumberFormat="1" applyFont="1" applyFill="1" applyBorder="1" applyAlignment="1">
      <alignment horizontal="center" vertical="center"/>
    </xf>
    <xf numFmtId="172" fontId="18" fillId="46" borderId="0" xfId="0" quotePrefix="1" applyNumberFormat="1" applyFont="1" applyFill="1" applyAlignment="1">
      <alignment horizontal="center" vertical="center"/>
    </xf>
    <xf numFmtId="172" fontId="18" fillId="46" borderId="18" xfId="0" quotePrefix="1" applyNumberFormat="1" applyFont="1" applyFill="1" applyBorder="1" applyAlignment="1">
      <alignment horizontal="center" vertical="center"/>
    </xf>
    <xf numFmtId="173" fontId="16" fillId="52" borderId="19" xfId="2" applyNumberFormat="1" applyFont="1" applyFill="1" applyBorder="1" applyAlignment="1">
      <alignment horizontal="center" vertical="center"/>
    </xf>
    <xf numFmtId="173" fontId="16" fillId="52" borderId="0" xfId="2" applyNumberFormat="1" applyFont="1" applyFill="1" applyBorder="1" applyAlignment="1">
      <alignment horizontal="center" vertical="center"/>
    </xf>
    <xf numFmtId="168" fontId="21" fillId="51" borderId="0" xfId="1" applyNumberFormat="1" applyFont="1" applyFill="1" applyBorder="1" applyAlignment="1">
      <alignment horizontal="center" vertical="center"/>
    </xf>
    <xf numFmtId="168" fontId="16" fillId="50" borderId="0" xfId="1" applyNumberFormat="1" applyFont="1" applyFill="1" applyBorder="1" applyAlignment="1">
      <alignment horizontal="center"/>
    </xf>
    <xf numFmtId="168" fontId="16" fillId="50" borderId="18" xfId="1" applyNumberFormat="1" applyFont="1" applyFill="1" applyBorder="1" applyAlignment="1">
      <alignment horizontal="center"/>
    </xf>
    <xf numFmtId="172" fontId="16" fillId="50" borderId="0" xfId="0" quotePrefix="1" applyNumberFormat="1" applyFont="1" applyFill="1" applyAlignment="1">
      <alignment horizontal="center"/>
    </xf>
    <xf numFmtId="173" fontId="16" fillId="50" borderId="0" xfId="2" applyNumberFormat="1" applyFont="1" applyFill="1" applyBorder="1" applyAlignment="1">
      <alignment horizontal="center" vertical="center"/>
    </xf>
    <xf numFmtId="173" fontId="16" fillId="50" borderId="18" xfId="2" applyNumberFormat="1" applyFont="1" applyFill="1" applyBorder="1" applyAlignment="1">
      <alignment horizontal="center" vertical="center"/>
    </xf>
    <xf numFmtId="168" fontId="21" fillId="49" borderId="0" xfId="1" applyNumberFormat="1" applyFont="1" applyFill="1" applyBorder="1" applyAlignment="1">
      <alignment horizontal="center" vertical="center"/>
    </xf>
    <xf numFmtId="172" fontId="16" fillId="48" borderId="0" xfId="0" quotePrefix="1" applyNumberFormat="1" applyFont="1" applyFill="1" applyAlignment="1">
      <alignment horizontal="center"/>
    </xf>
    <xf numFmtId="172" fontId="16" fillId="48" borderId="18" xfId="0" quotePrefix="1" applyNumberFormat="1" applyFont="1" applyFill="1" applyBorder="1" applyAlignment="1">
      <alignment horizontal="center"/>
    </xf>
    <xf numFmtId="173" fontId="16" fillId="48" borderId="0" xfId="2" applyNumberFormat="1" applyFont="1" applyFill="1" applyBorder="1" applyAlignment="1">
      <alignment horizontal="center" vertical="center"/>
    </xf>
    <xf numFmtId="173" fontId="16" fillId="48" borderId="18" xfId="2" applyNumberFormat="1" applyFont="1" applyFill="1" applyBorder="1" applyAlignment="1">
      <alignment horizontal="center" vertical="center"/>
    </xf>
    <xf numFmtId="171" fontId="21" fillId="47" borderId="0" xfId="0" quotePrefix="1" applyNumberFormat="1" applyFont="1" applyFill="1" applyAlignment="1">
      <alignment horizontal="center" vertical="center"/>
    </xf>
    <xf numFmtId="0" fontId="21" fillId="33" borderId="18" xfId="0" applyFont="1" applyFill="1" applyBorder="1" applyAlignment="1">
      <alignment horizontal="center" vertical="center"/>
    </xf>
    <xf numFmtId="0" fontId="16" fillId="53" borderId="0" xfId="0" applyFont="1" applyFill="1" applyAlignment="1">
      <alignment horizontal="center"/>
    </xf>
    <xf numFmtId="0" fontId="16" fillId="53" borderId="18" xfId="0" applyFont="1" applyFill="1" applyBorder="1" applyAlignment="1">
      <alignment horizontal="center"/>
    </xf>
    <xf numFmtId="173" fontId="16" fillId="53" borderId="0" xfId="2" applyNumberFormat="1" applyFont="1" applyFill="1" applyBorder="1" applyAlignment="1">
      <alignment horizontal="center" vertical="center"/>
    </xf>
    <xf numFmtId="173" fontId="16" fillId="53" borderId="18" xfId="2" applyNumberFormat="1" applyFont="1" applyFill="1" applyBorder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169" fontId="16" fillId="52" borderId="0" xfId="2" applyNumberFormat="1" applyFont="1" applyFill="1" applyBorder="1" applyAlignment="1">
      <alignment horizontal="center"/>
    </xf>
    <xf numFmtId="169" fontId="16" fillId="52" borderId="18" xfId="2" applyNumberFormat="1" applyFont="1" applyFill="1" applyBorder="1" applyAlignment="1">
      <alignment horizontal="center"/>
    </xf>
    <xf numFmtId="0" fontId="16" fillId="52" borderId="19" xfId="0" applyFont="1" applyFill="1" applyBorder="1" applyAlignment="1">
      <alignment horizontal="center"/>
    </xf>
    <xf numFmtId="0" fontId="16" fillId="52" borderId="0" xfId="0" applyFont="1" applyFill="1" applyAlignment="1">
      <alignment horizontal="center"/>
    </xf>
    <xf numFmtId="171" fontId="18" fillId="54" borderId="0" xfId="0" quotePrefix="1" applyNumberFormat="1" applyFont="1" applyFill="1" applyAlignment="1">
      <alignment horizontal="center"/>
    </xf>
    <xf numFmtId="171" fontId="18" fillId="54" borderId="18" xfId="0" quotePrefix="1" applyNumberFormat="1" applyFont="1" applyFill="1" applyBorder="1" applyAlignment="1">
      <alignment horizontal="center"/>
    </xf>
    <xf numFmtId="0" fontId="16" fillId="54" borderId="0" xfId="0" applyFont="1" applyFill="1" applyAlignment="1">
      <alignment horizontal="center"/>
    </xf>
    <xf numFmtId="0" fontId="25" fillId="2" borderId="0" xfId="0" applyFont="1" applyFill="1" applyAlignment="1">
      <alignment horizontal="left"/>
    </xf>
    <xf numFmtId="171" fontId="18" fillId="2" borderId="0" xfId="0" quotePrefix="1" applyNumberFormat="1" applyFont="1" applyFill="1" applyAlignment="1">
      <alignment horizontal="left" vertical="top" wrapText="1"/>
    </xf>
    <xf numFmtId="171" fontId="18" fillId="2" borderId="0" xfId="0" quotePrefix="1" applyNumberFormat="1" applyFont="1" applyFill="1" applyAlignment="1">
      <alignment horizontal="left" vertical="center" wrapText="1"/>
    </xf>
    <xf numFmtId="0" fontId="5" fillId="56" borderId="0" xfId="0" applyFont="1" applyFill="1" applyAlignment="1" applyProtection="1">
      <alignment horizontal="center" vertical="center"/>
      <protection locked="0"/>
    </xf>
    <xf numFmtId="0" fontId="25" fillId="2" borderId="0" xfId="0" applyFont="1" applyFill="1" applyAlignment="1">
      <alignment horizontal="left" wrapText="1"/>
    </xf>
    <xf numFmtId="164" fontId="30" fillId="2" borderId="0" xfId="2" quotePrefix="1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47" borderId="0" xfId="0" applyFont="1" applyFill="1" applyAlignment="1">
      <alignment horizontal="center"/>
    </xf>
    <xf numFmtId="0" fontId="23" fillId="55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justify" vertical="justify" wrapText="1"/>
    </xf>
    <xf numFmtId="171" fontId="31" fillId="2" borderId="0" xfId="0" quotePrefix="1" applyNumberFormat="1" applyFont="1" applyFill="1" applyAlignment="1">
      <alignment horizontal="justify" vertical="top" wrapText="1"/>
    </xf>
    <xf numFmtId="0" fontId="15" fillId="2" borderId="0" xfId="0" applyFont="1" applyFill="1" applyAlignment="1">
      <alignment horizontal="center" vertical="top" wrapText="1"/>
    </xf>
    <xf numFmtId="0" fontId="34" fillId="2" borderId="0" xfId="0" applyFont="1" applyFill="1" applyAlignment="1">
      <alignment horizontal="left" vertical="center" wrapText="1"/>
    </xf>
    <xf numFmtId="0" fontId="40" fillId="57" borderId="34" xfId="0" applyFont="1" applyFill="1" applyBorder="1" applyAlignment="1">
      <alignment horizontal="center" vertical="center" wrapText="1"/>
    </xf>
    <xf numFmtId="0" fontId="40" fillId="57" borderId="0" xfId="0" applyFont="1" applyFill="1" applyAlignment="1">
      <alignment horizontal="center" vertical="center" wrapText="1"/>
    </xf>
    <xf numFmtId="0" fontId="40" fillId="57" borderId="33" xfId="0" applyFont="1" applyFill="1" applyBorder="1" applyAlignment="1">
      <alignment horizontal="center" vertical="center" wrapText="1"/>
    </xf>
    <xf numFmtId="0" fontId="40" fillId="57" borderId="32" xfId="0" applyFont="1" applyFill="1" applyBorder="1" applyAlignment="1">
      <alignment horizontal="center" vertical="center" wrapText="1"/>
    </xf>
    <xf numFmtId="0" fontId="39" fillId="2" borderId="0" xfId="0" applyFont="1" applyFill="1" applyAlignment="1">
      <alignment horizontal="left" vertical="center" wrapText="1"/>
    </xf>
    <xf numFmtId="0" fontId="6" fillId="22" borderId="5" xfId="0" applyFont="1" applyFill="1" applyBorder="1" applyAlignment="1">
      <alignment horizontal="center"/>
    </xf>
    <xf numFmtId="0" fontId="6" fillId="22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6" fillId="30" borderId="5" xfId="0" applyFont="1" applyFill="1" applyBorder="1" applyAlignment="1">
      <alignment horizontal="center"/>
    </xf>
    <xf numFmtId="0" fontId="6" fillId="30" borderId="8" xfId="0" applyFont="1" applyFill="1" applyBorder="1" applyAlignment="1">
      <alignment horizontal="center"/>
    </xf>
    <xf numFmtId="0" fontId="6" fillId="30" borderId="6" xfId="0" applyFont="1" applyFill="1" applyBorder="1" applyAlignment="1">
      <alignment horizontal="center"/>
    </xf>
    <xf numFmtId="0" fontId="6" fillId="17" borderId="5" xfId="0" applyFont="1" applyFill="1" applyBorder="1" applyAlignment="1">
      <alignment horizontal="center"/>
    </xf>
    <xf numFmtId="0" fontId="6" fillId="17" borderId="6" xfId="0" applyFont="1" applyFill="1" applyBorder="1" applyAlignment="1">
      <alignment horizontal="center"/>
    </xf>
  </cellXfs>
  <cellStyles count="6">
    <cellStyle name="Hipervínculo" xfId="4" builtinId="8"/>
    <cellStyle name="Moneda" xfId="2" builtinId="4"/>
    <cellStyle name="Moneda 2" xfId="5" xr:uid="{122C2B66-8D23-4EC6-964C-E9F0F8BD9A93}"/>
    <cellStyle name="Normal" xfId="0" builtinId="0"/>
    <cellStyle name="Normal 2" xfId="3" xr:uid="{14432ACB-842B-49DD-86D7-1C2C87B43F30}"/>
    <cellStyle name="Porcentaje" xfId="1" builtinId="5"/>
  </cellStyles>
  <dxfs count="312">
    <dxf>
      <font>
        <color theme="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ECDEF6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000000"/>
      </font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solid">
          <fgColor rgb="FF93C47D"/>
          <bgColor rgb="FF93C47D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ont>
        <b/>
        <i val="0"/>
        <color rgb="FFFF0000"/>
      </font>
      <fill>
        <patternFill>
          <bgColor rgb="FFECDEF6"/>
        </patternFill>
      </fill>
    </dxf>
    <dxf>
      <font>
        <color rgb="FFFFFFFF"/>
      </font>
      <fill>
        <patternFill patternType="solid">
          <fgColor rgb="FF990000"/>
          <bgColor rgb="FF99000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>
          <bgColor theme="1"/>
        </patternFill>
      </fill>
    </dxf>
    <dxf>
      <font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000000"/>
      </font>
      <fill>
        <patternFill patternType="solid">
          <fgColor rgb="FF93C47D"/>
          <bgColor rgb="FF93C47D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none"/>
      </fill>
    </dxf>
    <dxf>
      <font>
        <color rgb="FFFFFF00"/>
      </font>
      <fill>
        <patternFill>
          <bgColor rgb="FFFF0000"/>
        </patternFill>
      </fill>
    </dxf>
    <dxf>
      <font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000000"/>
      </font>
      <fill>
        <patternFill patternType="solid">
          <fgColor rgb="FF93C47D"/>
          <bgColor rgb="FF93C47D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none"/>
      </fill>
    </dxf>
    <dxf>
      <font>
        <color rgb="FFFFFFFF"/>
      </font>
      <fill>
        <patternFill patternType="solid">
          <fgColor rgb="FF990000"/>
          <bgColor rgb="FF990000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ECDEF6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ECDEF6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FFFFB9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ECDEF6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ECDEF6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FFFFB9"/>
        </patternFill>
      </fill>
    </dxf>
    <dxf>
      <font>
        <color rgb="FFFFFF00"/>
      </font>
      <fill>
        <patternFill>
          <bgColor rgb="FFFF0000"/>
        </patternFill>
      </fill>
    </dxf>
    <dxf>
      <font>
        <b val="0"/>
        <i val="0"/>
        <color rgb="FFFF0000"/>
      </font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5015B"/>
      <color rgb="FF0A02AE"/>
      <color rgb="FF1408FC"/>
      <color rgb="FF66FF33"/>
      <color rgb="FFB40DF7"/>
      <color rgb="FFF846E7"/>
      <color rgb="FF00FFFF"/>
      <color rgb="FF04E6EC"/>
      <color rgb="FFC9A4E4"/>
      <color rgb="FF4F0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37624985253365E-3"/>
          <c:y val="4.8340272228321948E-2"/>
          <c:w val="0.82102054366590815"/>
          <c:h val="0.94800985936808646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rgbClr val="0000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FC-450E-B952-DC912D970620}"/>
              </c:ext>
            </c:extLst>
          </c:dPt>
          <c:dPt>
            <c:idx val="1"/>
            <c:bubble3D val="0"/>
            <c:spPr>
              <a:solidFill>
                <a:srgbClr val="F200B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FC-450E-B952-DC912D970620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FC-450E-B952-DC912D970620}"/>
              </c:ext>
            </c:extLst>
          </c:dPt>
          <c:dPt>
            <c:idx val="3"/>
            <c:bubble3D val="0"/>
            <c:spPr>
              <a:solidFill>
                <a:srgbClr val="DEA9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5FC-450E-B952-DC912D970620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5FC-450E-B952-DC912D970620}"/>
              </c:ext>
            </c:extLst>
          </c:dPt>
          <c:dPt>
            <c:idx val="5"/>
            <c:bubble3D val="0"/>
            <c:spPr>
              <a:solidFill>
                <a:srgbClr val="FF575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5FC-450E-B952-DC912D970620}"/>
              </c:ext>
            </c:extLst>
          </c:dPt>
          <c:dPt>
            <c:idx val="6"/>
            <c:bubble3D val="0"/>
            <c:spPr>
              <a:solidFill>
                <a:srgbClr val="FF4B4B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5FC-450E-B952-DC912D970620}"/>
              </c:ext>
            </c:extLst>
          </c:dPt>
          <c:dLbls>
            <c:dLbl>
              <c:idx val="0"/>
              <c:layout>
                <c:manualLayout>
                  <c:x val="0.10908360127478904"/>
                  <c:y val="-8.14285877610208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FC-450E-B952-DC912D970620}"/>
                </c:ext>
              </c:extLst>
            </c:dLbl>
            <c:dLbl>
              <c:idx val="1"/>
              <c:layout>
                <c:manualLayout>
                  <c:x val="2.3010273571495373E-2"/>
                  <c:y val="-0.1448181958660040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FC-450E-B952-DC912D970620}"/>
                </c:ext>
              </c:extLst>
            </c:dLbl>
            <c:dLbl>
              <c:idx val="3"/>
              <c:layout>
                <c:manualLayout>
                  <c:x val="6.4216584408887667E-2"/>
                  <c:y val="7.772955139134292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FC-450E-B952-DC912D970620}"/>
                </c:ext>
              </c:extLst>
            </c:dLbl>
            <c:dLbl>
              <c:idx val="4"/>
              <c:layout>
                <c:manualLayout>
                  <c:x val="-7.6834605285165572E-2"/>
                  <c:y val="0.1298881769872731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FC-450E-B952-DC912D970620}"/>
                </c:ext>
              </c:extLst>
            </c:dLbl>
            <c:dLbl>
              <c:idx val="5"/>
              <c:layout>
                <c:manualLayout>
                  <c:x val="-0.12282852705159503"/>
                  <c:y val="3.202266480350298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FC-450E-B952-DC912D970620}"/>
                </c:ext>
              </c:extLst>
            </c:dLbl>
            <c:dLbl>
              <c:idx val="6"/>
              <c:layout>
                <c:manualLayout>
                  <c:x val="-0.13293225303358822"/>
                  <c:y val="-1.122666958296879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5FC-450E-B952-DC912D9706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'ABAJO en la LANDING'!$B$22:$B$26</c:f>
              <c:strCache>
                <c:ptCount val="5"/>
                <c:pt idx="0">
                  <c:v>Plusvalia</c:v>
                </c:pt>
                <c:pt idx="1">
                  <c:v>Enganche</c:v>
                </c:pt>
                <c:pt idx="2">
                  <c:v>Escrituración</c:v>
                </c:pt>
                <c:pt idx="3">
                  <c:v>Equipar y Amueblar</c:v>
                </c:pt>
                <c:pt idx="4">
                  <c:v>Crédito + Mtto. - Rentas</c:v>
                </c:pt>
              </c:strCache>
            </c:strRef>
          </c:cat>
          <c:val>
            <c:numRef>
              <c:f>'ABAJO en la LANDING'!$C$22:$C$26</c:f>
              <c:numCache>
                <c:formatCode>"$"#,##0</c:formatCode>
                <c:ptCount val="5"/>
                <c:pt idx="0">
                  <c:v>6725086.1110228347</c:v>
                </c:pt>
                <c:pt idx="1">
                  <c:v>956577.60000000009</c:v>
                </c:pt>
                <c:pt idx="2">
                  <c:v>239144.39999999997</c:v>
                </c:pt>
                <c:pt idx="3">
                  <c:v>450000</c:v>
                </c:pt>
                <c:pt idx="4">
                  <c:v>3096671.3327495512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5FC-450E-B952-DC912D970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71"/>
        <c:splitType val="pos"/>
        <c:splitPos val="4"/>
        <c:secondPieSize val="61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6211060826187516"/>
          <c:y val="0.23773254285609099"/>
          <c:w val="0.2364566981220719"/>
          <c:h val="0.55793298683750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068936527952921E-3"/>
          <c:y val="1.2300123001230012E-2"/>
          <c:w val="0.90752416981925177"/>
          <c:h val="0.97013779527559052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'Con Prom.'!$B$37</c:f>
              <c:numCache>
                <c:formatCode>"$"#,##0;\-"$"#,##0</c:formatCode>
                <c:ptCount val="1"/>
                <c:pt idx="0">
                  <c:v>-1967640.0966895872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D-4040-B84B-AF7B86CF3F06}"/>
            </c:ext>
          </c:extLst>
        </c:ser>
        <c:ser>
          <c:idx val="1"/>
          <c:order val="1"/>
          <c:spPr>
            <a:solidFill>
              <a:srgbClr val="0101FF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'Con Prom.'!$E$33</c:f>
              <c:numCache>
                <c:formatCode>General</c:formatCode>
                <c:ptCount val="1"/>
                <c:pt idx="0">
                  <c:v>14.690622861054074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4D-4040-B84B-AF7B86CF3F0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45385792"/>
        <c:axId val="2146964800"/>
      </c:barChart>
      <c:catAx>
        <c:axId val="2145385792"/>
        <c:scaling>
          <c:orientation val="minMax"/>
        </c:scaling>
        <c:delete val="1"/>
        <c:axPos val="l"/>
        <c:majorTickMark val="none"/>
        <c:minorTickMark val="none"/>
        <c:tickLblPos val="nextTo"/>
        <c:crossAx val="2146964800"/>
        <c:crosses val="autoZero"/>
        <c:auto val="1"/>
        <c:lblAlgn val="ctr"/>
        <c:lblOffset val="100"/>
        <c:noMultiLvlLbl val="0"/>
      </c:catAx>
      <c:valAx>
        <c:axId val="214696480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14538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515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B6-47E6-9F22-C5FC79E83A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B6-47E6-9F22-C5FC79E83A17}"/>
              </c:ext>
            </c:extLst>
          </c:dPt>
          <c:dPt>
            <c:idx val="2"/>
            <c:bubble3D val="0"/>
            <c:spPr>
              <a:solidFill>
                <a:srgbClr val="31C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B6-47E6-9F22-C5FC79E83A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B6-47E6-9F22-C5FC79E83A17}"/>
              </c:ext>
            </c:extLst>
          </c:dPt>
          <c:val>
            <c:numRef>
              <c:f>'Con Prom.'!$B$15:$B$18</c:f>
              <c:numCache>
                <c:formatCode>General</c:formatCode>
                <c:ptCount val="4"/>
                <c:pt idx="0">
                  <c:v>821637.29999999993</c:v>
                </c:pt>
                <c:pt idx="1">
                  <c:v>821637.29999999993</c:v>
                </c:pt>
                <c:pt idx="2">
                  <c:v>45931</c:v>
                </c:pt>
                <c:pt idx="3">
                  <c:v>273879.09999999998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B6-47E6-9F22-C5FC79E83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166837</xdr:colOff>
      <xdr:row>6</xdr:row>
      <xdr:rowOff>16040</xdr:rowOff>
    </xdr:from>
    <xdr:to>
      <xdr:col>8</xdr:col>
      <xdr:colOff>160421</xdr:colOff>
      <xdr:row>17</xdr:row>
      <xdr:rowOff>72186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6430AB-FD8A-4619-AB25-3E0540FF9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513348</xdr:colOff>
      <xdr:row>6</xdr:row>
      <xdr:rowOff>962524</xdr:rowOff>
    </xdr:from>
    <xdr:to>
      <xdr:col>3</xdr:col>
      <xdr:colOff>505326</xdr:colOff>
      <xdr:row>7</xdr:row>
      <xdr:rowOff>40104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DE99E27-A7D8-4FB1-B3A3-CB166B85830A}"/>
            </a:ext>
          </a:extLst>
        </xdr:cNvPr>
        <xdr:cNvSpPr txBox="1"/>
      </xdr:nvSpPr>
      <xdr:spPr>
        <a:xfrm>
          <a:off x="2098308" y="1282564"/>
          <a:ext cx="784458" cy="3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600" b="1">
              <a:solidFill>
                <a:schemeClr val="bg1"/>
              </a:solidFill>
            </a:rPr>
            <a:t>TIR   333%</a:t>
          </a:r>
        </a:p>
        <a:p>
          <a:pPr algn="ctr"/>
          <a:endParaRPr lang="es-MX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745959</xdr:colOff>
      <xdr:row>9</xdr:row>
      <xdr:rowOff>104271</xdr:rowOff>
    </xdr:from>
    <xdr:to>
      <xdr:col>3</xdr:col>
      <xdr:colOff>1700462</xdr:colOff>
      <xdr:row>12</xdr:row>
      <xdr:rowOff>56145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D04EBAA-729E-4F3D-8313-A09D10D69749}"/>
            </a:ext>
          </a:extLst>
        </xdr:cNvPr>
        <xdr:cNvSpPr txBox="1"/>
      </xdr:nvSpPr>
      <xdr:spPr>
        <a:xfrm>
          <a:off x="3123399" y="1750191"/>
          <a:ext cx="47723" cy="500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solidFill>
                <a:schemeClr val="bg1"/>
              </a:solidFill>
            </a:rPr>
            <a:t>INVERSIÓN NETA</a:t>
          </a:r>
        </a:p>
        <a:p>
          <a:pPr algn="ctr"/>
          <a:endParaRPr lang="es-MX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34</xdr:row>
      <xdr:rowOff>175260</xdr:rowOff>
    </xdr:from>
    <xdr:to>
      <xdr:col>5</xdr:col>
      <xdr:colOff>144780</xdr:colOff>
      <xdr:row>38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6860B9-222C-4C50-B700-70DCFB00C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121920</xdr:colOff>
      <xdr:row>12</xdr:row>
      <xdr:rowOff>45720</xdr:rowOff>
    </xdr:from>
    <xdr:to>
      <xdr:col>3</xdr:col>
      <xdr:colOff>2164080</xdr:colOff>
      <xdr:row>20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EB1177-78CB-46C7-8002-3AD3EB7C1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53340</xdr:colOff>
      <xdr:row>36</xdr:row>
      <xdr:rowOff>99060</xdr:rowOff>
    </xdr:from>
    <xdr:to>
      <xdr:col>3</xdr:col>
      <xdr:colOff>213360</xdr:colOff>
      <xdr:row>36</xdr:row>
      <xdr:rowOff>152400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8CA7C836-2CFF-4B5D-AC56-57718EDBA260}"/>
            </a:ext>
          </a:extLst>
        </xdr:cNvPr>
        <xdr:cNvCxnSpPr/>
      </xdr:nvCxnSpPr>
      <xdr:spPr>
        <a:xfrm>
          <a:off x="1638300" y="6682740"/>
          <a:ext cx="952500" cy="53340"/>
        </a:xfrm>
        <a:prstGeom prst="line">
          <a:avLst/>
        </a:prstGeom>
        <a:ln>
          <a:solidFill>
            <a:srgbClr val="FF5D5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</xdr:colOff>
      <xdr:row>32</xdr:row>
      <xdr:rowOff>175260</xdr:rowOff>
    </xdr:from>
    <xdr:to>
      <xdr:col>4</xdr:col>
      <xdr:colOff>213360</xdr:colOff>
      <xdr:row>36</xdr:row>
      <xdr:rowOff>30480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AE7F0683-645D-4B8B-90B4-AD90F6D83B6C}"/>
            </a:ext>
          </a:extLst>
        </xdr:cNvPr>
        <xdr:cNvCxnSpPr/>
      </xdr:nvCxnSpPr>
      <xdr:spPr>
        <a:xfrm flipH="1">
          <a:off x="3223260" y="6027420"/>
          <a:ext cx="160020" cy="5867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scritorio\Empresas\Muros\MUROS.MX%20Ricardo\muros.mx\Plan%20Plataforma%202025.xlsx" TargetMode="External"/><Relationship Id="rId1" Type="http://schemas.openxmlformats.org/officeDocument/2006/relationships/externalLinkPath" Target="Plan%20Plataforma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ÁLOGO"/>
      <sheetName val="COMPARATIVO"/>
      <sheetName val="Final"/>
      <sheetName val="Final (2)"/>
      <sheetName val="Final (3)"/>
      <sheetName val="Final (4)"/>
      <sheetName val="Final (5)"/>
      <sheetName val="Corridas"/>
      <sheetName val="Hoja1"/>
      <sheetName val="ROI-CAP"/>
      <sheetName val="TASA ESPECIAL"/>
      <sheetName val="ESTRATEGIAS"/>
      <sheetName val="PROSPECTACIÓN"/>
      <sheetName val="NOTAS"/>
      <sheetName val="T1"/>
      <sheetName val="T2"/>
      <sheetName val="T3"/>
      <sheetName val="T4"/>
      <sheetName val="PDF"/>
      <sheetName val="PDF 1"/>
      <sheetName val="PDF 2"/>
      <sheetName val="PDF REF."/>
      <sheetName val="PDF REF. (2)"/>
      <sheetName val="PDF 2 (2)"/>
      <sheetName val="PDF REF. (3)"/>
      <sheetName val="PDF REF. (4)"/>
      <sheetName val="PDF REF. (5)"/>
      <sheetName val="PDF REF. (6)"/>
      <sheetName val="PDF REF. (7)"/>
      <sheetName val="PDF REF. (8)"/>
      <sheetName val="PDF REF. (9)"/>
      <sheetName val="PDF REF. (10)"/>
      <sheetName val="PDF REF. (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7">
          <cell r="H17">
            <v>956577.60000000009</v>
          </cell>
        </row>
        <row r="21">
          <cell r="C21">
            <v>143486.63999999998</v>
          </cell>
          <cell r="D21">
            <v>95657.76</v>
          </cell>
          <cell r="F21">
            <v>300000</v>
          </cell>
          <cell r="G21">
            <v>150000</v>
          </cell>
        </row>
        <row r="29">
          <cell r="H29">
            <v>1045240.912266276</v>
          </cell>
        </row>
        <row r="33">
          <cell r="D33">
            <v>8265987.9679114893</v>
          </cell>
        </row>
        <row r="37">
          <cell r="H37">
            <v>6214557.5474282149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F9C3AC88-F986-4074-AFAE-DF3D6DC20F63}" name="Monterrey173373" displayName="Monterrey173373" ref="CY3:CY23" totalsRowShown="0" headerRowDxfId="311" dataDxfId="309" headerRowBorderDxfId="310">
  <tableColumns count="1">
    <tableColumn id="1" xr3:uid="{8358F26C-BE93-448C-BD96-684839BE4651}" name="D42" dataDxfId="30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B132E96A-9297-49FC-A74E-5AF91A0E3B52}" name="Monterrey183474" displayName="Monterrey183474" ref="CZ3:CZ23" totalsRowShown="0" headerRowDxfId="307" dataDxfId="305" headerRowBorderDxfId="306">
  <tableColumns count="1">
    <tableColumn id="1" xr3:uid="{4C588589-36C6-4E14-B522-61F21C5FF424}" name="D43" dataDxfId="30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FCA39C05-6FD6-4726-B462-BECAD03A0CDD}" name="Monterrey17193575" displayName="Monterrey17193575" ref="DA3:DA23" totalsRowShown="0" headerRowDxfId="303" dataDxfId="301" headerRowBorderDxfId="302">
  <tableColumns count="1">
    <tableColumn id="1" xr3:uid="{6F7AFCEA-3E93-4384-9B10-6E08069FFDA7}" name="D44" dataDxfId="30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DA19105-51FF-4579-8198-6AE88B09E78E}" name="Monterrey203676" displayName="Monterrey203676" ref="DB3:DB23" totalsRowShown="0" headerRowDxfId="299" dataDxfId="297" headerRowBorderDxfId="298">
  <tableColumns count="1">
    <tableColumn id="1" xr3:uid="{CF51E2E6-14EF-47D4-A194-1BB355CD659B}" name="D45" dataDxfId="296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498F1B4A-3B6D-4439-979B-897995BF2645}" name="Monterrey17213777" displayName="Monterrey17213777" ref="DC3:DC23" totalsRowShown="0" headerRowDxfId="295" dataDxfId="293" headerRowBorderDxfId="294">
  <tableColumns count="1">
    <tableColumn id="1" xr3:uid="{1CE3955C-4B75-41D1-B1BC-FE818DB9F5BD}" name="D46" dataDxfId="292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9808C9F5-A47F-4C7A-AAFE-6B9D9581FA4F}" name="Monterrey18223878" displayName="Monterrey18223878" ref="DD3:DD23" totalsRowShown="0" headerRowDxfId="291" dataDxfId="289" headerRowBorderDxfId="290">
  <tableColumns count="1">
    <tableColumn id="1" xr3:uid="{FAC18063-F702-4941-B6E3-DC6CCE36B315}" name="D47" dataDxfId="288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FA1980D2-BC02-4D5E-9E6E-E4380F93264D}" name="Monterrey1719233979" displayName="Monterrey1719233979" ref="DE3:DE23" totalsRowShown="0" headerRowDxfId="287" dataDxfId="285" headerRowBorderDxfId="286">
  <tableColumns count="1">
    <tableColumn id="1" xr3:uid="{14222BA7-CA09-47BC-A070-AA295DFB204C}" name="D48" dataDxfId="284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8854BF9A-8E8D-4367-BF83-13143EFF5205}" name="Monterrey244080" displayName="Monterrey244080" ref="DF3:DF23" totalsRowShown="0" headerRowDxfId="283" dataDxfId="281" headerRowBorderDxfId="282">
  <tableColumns count="1">
    <tableColumn id="1" xr3:uid="{2629ABD3-568E-4DB6-88C2-9FCFB2CCAE2F}" name="D49" dataDxfId="280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82790D19-FF26-495D-87EA-C51D0B900F42}" name="Monterrey17254181" displayName="Monterrey17254181" ref="DG3:DG23" totalsRowShown="0" headerRowDxfId="279" dataDxfId="277" headerRowBorderDxfId="278">
  <tableColumns count="1">
    <tableColumn id="1" xr3:uid="{039DE2A6-2FE0-430C-8E6C-FA87CE4B533B}" name="D50" dataDxfId="276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A8F50FDB-DDAF-466A-B236-1A48EAFF9628}" name="Monterrey3272" displayName="Monterrey3272" ref="CX3:CX23" totalsRowShown="0" headerRowDxfId="275" dataDxfId="273" headerRowBorderDxfId="274">
  <tableColumns count="1">
    <tableColumn id="1" xr3:uid="{681B4637-C934-47B0-930A-4DF32B841226}" name="D41" dataDxfId="272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D5BC3AB-1382-4E62-B57F-B320D3097534}" name="Monterrey17254171" displayName="Monterrey17254171" ref="CW3:CW23" totalsRowShown="0" headerRowDxfId="271" dataDxfId="269" headerRowBorderDxfId="270">
  <tableColumns count="1">
    <tableColumn id="1" xr3:uid="{D537CC8A-0A88-4D6A-964F-9D0415859FE7}" name="D40" dataDxfId="268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DD2A1539-3C1C-4062-B0A5-8E82AB4D8E8E}" name="Monterrey244070" displayName="Monterrey244070" ref="CV3:CV23" totalsRowShown="0" headerRowDxfId="267" dataDxfId="265" headerRowBorderDxfId="266">
  <tableColumns count="1">
    <tableColumn id="1" xr3:uid="{50BDC00A-8C05-4ECF-A4F7-1A4C373512BF}" name="D39" dataDxfId="264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6E04ED8-A9DE-4A9C-948B-1686C01B469E}" name="Monterrey1719233969" displayName="Monterrey1719233969" ref="CU3:CU23" totalsRowShown="0" headerRowDxfId="263" dataDxfId="261" headerRowBorderDxfId="262">
  <tableColumns count="1">
    <tableColumn id="1" xr3:uid="{786BEEC4-7CB3-4C5E-9716-FF997C1B2E7E}" name="D38" dataDxfId="260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F9393237-6949-471F-98DD-E5E59F146AF3}" name="Monterrey18223868" displayName="Monterrey18223868" ref="CT3:CT23" totalsRowShown="0" headerRowDxfId="259" dataDxfId="257" headerRowBorderDxfId="258">
  <tableColumns count="1">
    <tableColumn id="1" xr3:uid="{141D708D-3057-4633-8273-04016417111A}" name="D37" dataDxfId="256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0604885-8C67-40BF-B419-C837B7F3E00C}" name="Monterrey17213767" displayName="Monterrey17213767" ref="CS3:CS23" totalsRowShown="0" headerRowDxfId="255" dataDxfId="253" headerRowBorderDxfId="254">
  <tableColumns count="1">
    <tableColumn id="1" xr3:uid="{E3991015-41E9-48CC-A7F1-2AD8A4168769}" name="D36" dataDxfId="252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A266AE6A-63DB-49C0-B1B3-DEE936DBB2B0}" name="Monterrey203666" displayName="Monterrey203666" ref="CR3:CR23" totalsRowShown="0" headerRowDxfId="251" dataDxfId="249" headerRowBorderDxfId="250">
  <tableColumns count="1">
    <tableColumn id="1" xr3:uid="{D02D9324-14F9-4452-BE71-CF250F1D5133}" name="D35" dataDxfId="248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F875435B-44E5-4326-9274-A1042EA25412}" name="Monterrey17193565" displayName="Monterrey17193565" ref="CQ3:CQ23" totalsRowShown="0" headerRowDxfId="247" dataDxfId="245" headerRowBorderDxfId="246">
  <tableColumns count="1">
    <tableColumn id="1" xr3:uid="{5D55100F-1FC2-471E-AC88-CB2EAD7061A6}" name="D34" dataDxfId="244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A68B2BFE-4117-4874-90A5-A217858AD43C}" name="Monterrey183464" displayName="Monterrey183464" ref="CP3:CP23" totalsRowShown="0" headerRowDxfId="243" dataDxfId="241" headerRowBorderDxfId="242">
  <tableColumns count="1">
    <tableColumn id="1" xr3:uid="{98C1A77E-0960-492D-94EF-87AD080D9F25}" name="D33" dataDxfId="240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5419A720-2A5C-4E67-9D66-578F7CCE6E8A}" name="Monterrey173363" displayName="Monterrey173363" ref="CO3:CO23" totalsRowShown="0" headerRowDxfId="239" dataDxfId="237" headerRowBorderDxfId="238">
  <tableColumns count="1">
    <tableColumn id="1" xr3:uid="{85C4A760-D27D-4FEB-A9C2-606763A83AED}" name="D32" dataDxfId="236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8F7663B2-02BB-49B3-94F4-A9631B595F2C}" name="Monterrey3262" displayName="Monterrey3262" ref="CN3:CN23" totalsRowShown="0" headerRowDxfId="235" dataDxfId="233" headerRowBorderDxfId="234">
  <tableColumns count="1">
    <tableColumn id="1" xr3:uid="{68F7952C-3D66-4973-81E9-0740F7EE10B9}" name="D31" dataDxfId="232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A6F70D1F-5175-42FE-93AF-5C9F101E664F}" name="Monterrey17254161" displayName="Monterrey17254161" ref="CM3:CM23" totalsRowShown="0" headerRowDxfId="231" dataDxfId="229" headerRowBorderDxfId="230">
  <tableColumns count="1">
    <tableColumn id="1" xr3:uid="{961A6218-BF68-4063-91C5-EB83950A2922}" name="D30" dataDxfId="228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ED3D36B-F45D-4B24-B02D-BE2E8CFA935A}" name="Monterrey244060" displayName="Monterrey244060" ref="CL3:CL23" totalsRowShown="0" headerRowDxfId="227" dataDxfId="225" headerRowBorderDxfId="226">
  <tableColumns count="1">
    <tableColumn id="1" xr3:uid="{96241C6E-84F6-4B4C-9354-E1D603169EF6}" name="D29" dataDxfId="224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70547BDD-F77B-4569-8E6B-2A7A70010E15}" name="Monterrey1719233959" displayName="Monterrey1719233959" ref="CK3:CK23" totalsRowShown="0" headerRowDxfId="223" dataDxfId="221" headerRowBorderDxfId="222">
  <tableColumns count="1">
    <tableColumn id="1" xr3:uid="{CAB41B10-D600-4C26-8018-15E4FB630CB1}" name="D28" dataDxfId="220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DB5A1B62-466D-4850-83CB-8164A8FBCF82}" name="Monterrey18223858" displayName="Monterrey18223858" ref="CJ3:CJ23" totalsRowShown="0" headerRowDxfId="219" dataDxfId="217" headerRowBorderDxfId="218">
  <tableColumns count="1">
    <tableColumn id="1" xr3:uid="{AC2ADDA8-7D61-4B82-93DC-D78E5C29E119}" name="D27" dataDxfId="216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CE2F4344-C2F2-4E21-AA0E-8DBEA745C395}" name="Monterrey17213757" displayName="Monterrey17213757" ref="CI3:CI23" totalsRowShown="0" headerRowDxfId="215" dataDxfId="213" headerRowBorderDxfId="214">
  <tableColumns count="1">
    <tableColumn id="1" xr3:uid="{B0E9C9AA-B9B5-4556-8C3F-845E0F9BA440}" name="D26" dataDxfId="212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5EDB2275-ACCA-482A-BFC7-0FCBCE0657BD}" name="Monterrey203656" displayName="Monterrey203656" ref="CH3:CH23" totalsRowShown="0" headerRowDxfId="211" dataDxfId="209" headerRowBorderDxfId="210">
  <tableColumns count="1">
    <tableColumn id="1" xr3:uid="{9EE70694-E9FA-472B-9289-0176DA0546BB}" name="D25" dataDxfId="208"/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30E0EF1B-A184-49D4-A0E1-D73E9A8C6DCF}" name="Monterrey17193555" displayName="Monterrey17193555" ref="CG3:CG23" totalsRowShown="0" headerRowDxfId="207" dataDxfId="205" headerRowBorderDxfId="206">
  <tableColumns count="1">
    <tableColumn id="1" xr3:uid="{7D74A1ED-4A57-425C-853A-B85CE8F5B814}" name="D24" dataDxfId="204"/>
  </tableColumns>
  <tableStyleInfo name="TableStyleLight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A23D6C34-5124-4BB2-8C15-14029F827A9C}" name="Monterrey183454" displayName="Monterrey183454" ref="CF3:CF23" totalsRowShown="0" headerRowDxfId="203" dataDxfId="201" headerRowBorderDxfId="202">
  <tableColumns count="1">
    <tableColumn id="1" xr3:uid="{F07800EC-BBE6-45BF-9A46-71245004E7ED}" name="D23" dataDxfId="200"/>
  </tableColumns>
  <tableStyleInfo name="TableStyleLight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0AAFCF3-CD7D-4828-B57F-DB9B15997F46}" name="Monterrey173353" displayName="Monterrey173353" ref="CE3:CE23" totalsRowShown="0" headerRowDxfId="199" dataDxfId="197" headerRowBorderDxfId="198">
  <tableColumns count="1">
    <tableColumn id="1" xr3:uid="{412AEB56-AD4E-45C2-9992-F5D3D5DD08D5}" name="D22" dataDxfId="196"/>
  </tableColumns>
  <tableStyleInfo name="TableStyleLight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8F738490-1A50-4590-88BE-46857CE70380}" name="Monterrey3252" displayName="Monterrey3252" ref="CD3:CD23" totalsRowShown="0" headerRowDxfId="195" dataDxfId="193" headerRowBorderDxfId="194">
  <tableColumns count="1">
    <tableColumn id="1" xr3:uid="{065C7DFA-9475-49EC-924C-535F9F21A746}" name="D21" dataDxfId="192"/>
  </tableColumns>
  <tableStyleInfo name="TableStyleLight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AE716FC-4952-4208-90C2-C3CB67EE2C46}" name="Monterrey17254151" displayName="Monterrey17254151" ref="CC3:CC23" totalsRowShown="0" headerRowDxfId="191" dataDxfId="189" headerRowBorderDxfId="190">
  <tableColumns count="1">
    <tableColumn id="1" xr3:uid="{E5916847-994A-4149-BF01-9B34A845406D}" name="D20" dataDxfId="188"/>
  </tableColumns>
  <tableStyleInfo name="TableStyleLight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D8ADE9B-363E-4314-A9FD-445D34AEF3D3}" name="NEUBEN" displayName="NEUBEN" ref="CB3:CB5" totalsRowShown="0" headerRowDxfId="187" dataDxfId="185" headerRowBorderDxfId="186">
  <tableColumns count="1">
    <tableColumn id="1" xr3:uid="{27EEE182-EE09-49E2-9587-B5A469FE758B}" name="NEUBEN" dataDxfId="184"/>
  </tableColumns>
  <tableStyleInfo name="TableStyleLight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83C9AA91-A05E-4241-9986-280EA89812AE}" name="VALO" displayName="VALO" ref="CA3:CA5" totalsRowShown="0" headerRowDxfId="183" dataDxfId="181" headerRowBorderDxfId="182">
  <tableColumns count="1">
    <tableColumn id="1" xr3:uid="{C40E2277-625F-4730-B29D-50C65485E5DB}" name="VALO" dataDxfId="180"/>
  </tableColumns>
  <tableStyleInfo name="TableStyleLight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A272F678-D3AC-49C5-A577-97FC693F209B}" name="TROY" displayName="TROY" ref="BZ3:BZ5" totalsRowShown="0" headerRowDxfId="179" dataDxfId="177" headerRowBorderDxfId="178">
  <tableColumns count="1">
    <tableColumn id="1" xr3:uid="{BA7D9FDD-580C-4E56-BF65-132F1210C525}" name="TROY" dataDxfId="176"/>
  </tableColumns>
  <tableStyleInfo name="TableStyleLight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CFB6072-C40C-4311-AB21-9F55A6418543}" name="QUANTIUM" displayName="QUANTIUM" ref="BY3:BY8" totalsRowShown="0" headerRowDxfId="175" dataDxfId="173" headerRowBorderDxfId="174">
  <tableColumns count="1">
    <tableColumn id="1" xr3:uid="{8F441394-EF37-49F6-A2E0-A9571C2A2601}" name="QUANTIUM" dataDxfId="172"/>
  </tableColumns>
  <tableStyleInfo name="TableStyleLight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BCB0E024-B9BC-43A1-A65B-176405D9C7A5}" name="PROYECTOS9" displayName="PROYECTOS9" ref="BX3:BX12" totalsRowShown="0" headerRowDxfId="171" dataDxfId="169" headerRowBorderDxfId="170">
  <tableColumns count="1">
    <tableColumn id="1" xr3:uid="{CECCDB41-DD07-47E3-9195-9087F12FA0B7}" name="PROYECTOS9" dataDxfId="168"/>
  </tableColumns>
  <tableStyleInfo name="TableStyleLight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F7B6E75-4EAC-4ECA-B935-539E4B12E7FB}" name="PISSA" displayName="PISSA" ref="BW3:BW5" totalsRowShown="0" headerRowDxfId="167" dataDxfId="165" headerRowBorderDxfId="166">
  <tableColumns count="1">
    <tableColumn id="1" xr3:uid="{CEAFFEE4-C37A-441E-BDF3-FFA32F04C7F8}" name="PISSA" dataDxfId="164"/>
  </tableColumns>
  <tableStyleInfo name="TableStyleLight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3C119DB-D982-47AA-B09C-9B20C3638FA0}" name="NEST" displayName="NEST" ref="BV3:BV9" totalsRowShown="0" headerRowDxfId="163" dataDxfId="161" headerRowBorderDxfId="162">
  <tableColumns count="1">
    <tableColumn id="1" xr3:uid="{262784F5-B496-449E-A553-ADDBB8C91F26}" name="NEST" dataDxfId="160"/>
  </tableColumns>
  <tableStyleInfo name="TableStyleLight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03B6584-FB3B-4C92-A6C7-48C36CECD372}" name="LANDWORK" displayName="LANDWORK" ref="BU3:BU6" totalsRowShown="0" headerRowDxfId="159" dataDxfId="157" headerRowBorderDxfId="158">
  <tableColumns count="1">
    <tableColumn id="1" xr3:uid="{64567E1A-2362-4E37-A32A-05DC57F2DD77}" name="LANDWORK" dataDxfId="156"/>
  </tableColumns>
  <tableStyleInfo name="TableStyleLight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E82F8CA-4075-41D2-8F29-47A94425332E}" name="KOINOX" displayName="KOINOX" ref="BT3:BT9" totalsRowShown="0" headerRowDxfId="155" dataDxfId="153" headerRowBorderDxfId="154">
  <tableColumns count="1">
    <tableColumn id="1" xr3:uid="{A125F6E5-A1CD-4E61-9973-8E16E011485F}" name="KOINOX" dataDxfId="152"/>
  </tableColumns>
  <tableStyleInfo name="TableStyleLight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61B0DC7-955F-4E2C-915E-B64BDC3D04DE}" name="IDEI" displayName="IDEI" ref="BS3:BS10" totalsRowShown="0" headerRowDxfId="151" dataDxfId="149" headerRowBorderDxfId="150">
  <tableColumns count="1">
    <tableColumn id="1" xr3:uid="{465E5EC4-1E0F-4E80-AF66-3BA82DE3942F}" name="IDEI" dataDxfId="148"/>
  </tableColumns>
  <tableStyleInfo name="TableStyleLight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285C8DA-2842-4D35-B113-CCFC3ED825A3}" name="DELTA" displayName="DELTA" ref="BR3:BR7" totalsRowShown="0" headerRowDxfId="147" dataDxfId="145" headerRowBorderDxfId="146">
  <tableColumns count="1">
    <tableColumn id="1" xr3:uid="{508D72B2-2E8F-4F2A-B8B5-38129D93FA88}" name="DELTA" dataDxfId="144"/>
  </tableColumns>
  <tableStyleInfo name="TableStyleLight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A601D95-957D-419B-B5D0-10EC35057039}" name="CUADRO" displayName="CUADRO" ref="BQ3:BQ8" totalsRowShown="0" headerRowDxfId="143" dataDxfId="141" headerRowBorderDxfId="142">
  <tableColumns count="1">
    <tableColumn id="1" xr3:uid="{E40B0892-EACD-4575-9155-62431C7B15EC}" name="CUADRO" dataDxfId="140"/>
  </tableColumns>
  <tableStyleInfo name="TableStyleLight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761A7EC8-C7A4-42B4-9E00-8A5075ABF932}" name="CREARE" displayName="CREARE" ref="BP3:BP5" totalsRowShown="0" headerRowDxfId="139" dataDxfId="137" headerRowBorderDxfId="138">
  <tableColumns count="1">
    <tableColumn id="1" xr3:uid="{DA3BF4CE-2FB9-45BF-A136-E2F1CD5908FC}" name="CREARE" dataDxfId="136"/>
  </tableColumns>
  <tableStyleInfo name="TableStyleLight8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E5B4C9B-7CF1-41B8-91AD-D8D5D6D29D12}" name="CARZA" displayName="CARZA" ref="BO3:BO7" totalsRowShown="0" headerRowDxfId="135" dataDxfId="133" headerRowBorderDxfId="134">
  <tableColumns count="1">
    <tableColumn id="1" xr3:uid="{DDB75977-BEFC-4DFC-9A3E-B5DDDB617EEA}" name="CARZA" dataDxfId="132"/>
  </tableColumns>
  <tableStyleInfo name="TableStyleLight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29718EE-0AEB-4CE7-B018-CD08B4EAD003}" name="CAPITEL" displayName="CAPITEL" ref="BN3:BN5" totalsRowShown="0" headerRowDxfId="131" dataDxfId="129" headerRowBorderDxfId="130">
  <tableColumns count="1">
    <tableColumn id="1" xr3:uid="{B2181F36-5E9B-4805-B1BC-FC3C4A160656}" name="CAPITEL" dataDxfId="128"/>
  </tableColumns>
  <tableStyleInfo name="TableStyleLight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0EA443C-4848-471D-9C2E-C1CF47D1346E}" name="_C3CO" displayName="_C3CO" ref="BM3:BM5" totalsRowShown="0" headerRowDxfId="127" dataDxfId="125" headerRowBorderDxfId="126">
  <tableColumns count="1">
    <tableColumn id="1" xr3:uid="{023EBA89-DB3E-49E9-AEB4-45C60FAA732B}" name="_C3CO" dataDxfId="124"/>
  </tableColumns>
  <tableStyleInfo name="TableStyleLight8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E7FDF3F-8464-4779-B00B-35F103A16BA6}" name="BIRLOK" displayName="BIRLOK" ref="BL3:BL8" totalsRowShown="0" headerRowDxfId="123" dataDxfId="121" headerRowBorderDxfId="122">
  <tableColumns count="1">
    <tableColumn id="1" xr3:uid="{A1B4007A-7A3B-45E8-B545-33D5823E0CBB}" name="BIRLOK" dataDxfId="120"/>
  </tableColumns>
  <tableStyleInfo name="TableStyleLight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A9CD8B1-69F3-47CC-BF97-77F86DFCE80F}" name="ALTIO" displayName="ALTIO" ref="BK3:BK6" totalsRowShown="0" headerRowDxfId="119" dataDxfId="117" headerRowBorderDxfId="118">
  <tableColumns count="1">
    <tableColumn id="1" xr3:uid="{29B1ED20-D3AB-478A-A207-DE3CA3B1DB40}" name="ALTIO" dataDxfId="116"/>
  </tableColumns>
  <tableStyleInfo name="TableStyleLight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4B575E2-56D5-4775-9721-32AE459C89AA}" name="AISEN" displayName="AISEN" ref="BJ3:BJ5" totalsRowShown="0" headerRowDxfId="115" dataDxfId="113" headerRowBorderDxfId="114">
  <tableColumns count="1">
    <tableColumn id="1" xr3:uid="{1444C41D-F0CC-4F57-A21B-4C553E2C9E3E}" name="AISEN" dataDxfId="112"/>
  </tableColumns>
  <tableStyleInfo name="TableStyleLight8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E081C7F-DA48-41E9-A9CB-025699F0495E}" name="C.10" displayName="C.10" ref="BH3:BH13" totalsRowShown="0" headerRowDxfId="111" dataDxfId="109" headerRowBorderDxfId="110">
  <tableColumns count="1">
    <tableColumn id="1" xr3:uid="{8EFD508A-F6C7-459A-B3E3-4496978B4747}" name="C.10" dataDxfId="108"/>
  </tableColumns>
  <tableStyleInfo name="TableStyleLight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1749ED8-B1EC-4EBF-A118-4765352F4526}" name="C.9" displayName="C.9" ref="BG3:BG13" totalsRowShown="0" headerRowDxfId="107" dataDxfId="105" headerRowBorderDxfId="106">
  <tableColumns count="1">
    <tableColumn id="1" xr3:uid="{FBB97357-9E5A-45B7-A658-D138686AA811}" name="C.9" dataDxfId="104"/>
  </tableColumns>
  <tableStyleInfo name="TableStyleLight8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AEA275-CEE6-4605-AC4C-0AA86512A79A}" name="C.8" displayName="C.8" ref="BF3:BF13" totalsRowShown="0" headerRowDxfId="103" dataDxfId="101" headerRowBorderDxfId="102">
  <tableColumns count="1">
    <tableColumn id="1" xr3:uid="{88B772DF-3D81-44FD-9074-4780D90ABF6E}" name="C.8" dataDxfId="100"/>
  </tableColumns>
  <tableStyleInfo name="TableStyleLight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01A2C1A-69B2-433B-A5DD-27792016FFFF}" name="C.7" displayName="C.7" ref="BE3:BE13" totalsRowShown="0" headerRowDxfId="99" dataDxfId="97" headerRowBorderDxfId="98">
  <tableColumns count="1">
    <tableColumn id="1" xr3:uid="{1333BF8E-8BB5-4533-A1AE-6AFDCBCFE176}" name="C.7" dataDxfId="96"/>
  </tableColumns>
  <tableStyleInfo name="TableStyleLight8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20F6FE2-76D7-456D-9284-509879492248}" name="C.6" displayName="C.6" ref="BD3:BD13" totalsRowShown="0" headerRowDxfId="95" dataDxfId="93" headerRowBorderDxfId="94">
  <tableColumns count="1">
    <tableColumn id="1" xr3:uid="{C1BD38A3-2020-48F4-97FE-7974920E4DC0}" name="C.6" dataDxfId="92"/>
  </tableColumns>
  <tableStyleInfo name="TableStyleLight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3DA15D0-BF2A-4DB4-80F9-ADE4B0B079AE}" name="C.5" displayName="C.5" ref="BC3:BC13" totalsRowShown="0" headerRowDxfId="91" dataDxfId="89" headerRowBorderDxfId="90">
  <tableColumns count="1">
    <tableColumn id="1" xr3:uid="{92A1BAB0-A8A1-46CB-881D-F2A0DA09ACCC}" name="C.5" dataDxfId="88"/>
  </tableColumns>
  <tableStyleInfo name="TableStyleLight8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4A5149F-52A5-4A58-9E33-E65AD34D6043}" name="CDMX" displayName="CDMX" ref="BB3:BB6" totalsRowShown="0" headerRowDxfId="87" dataDxfId="85" headerRowBorderDxfId="86">
  <tableColumns count="1">
    <tableColumn id="1" xr3:uid="{51D095B2-EEA5-43B0-BC18-713495AC6F0B}" name="CDMX" dataDxfId="84"/>
  </tableColumns>
  <tableStyleInfo name="TableStyleLight8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1AD98F5-A0F2-47E0-AEB4-30EE638FC78A}" name="Guadalajara" displayName="Guadalajara" ref="BA3:BA6" totalsRowShown="0" headerRowDxfId="83" dataDxfId="81" headerRowBorderDxfId="82">
  <tableColumns count="1">
    <tableColumn id="1" xr3:uid="{25343A81-9CFE-4573-9B6A-95C54290C0C3}" name="Guadalajara" dataDxfId="80"/>
  </tableColumns>
  <tableStyleInfo name="TableStyleLight8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D91B6D3-D907-4EF7-BD4A-D94BA5AA0106}" name="Saltillo" displayName="Saltillo" ref="AZ3:AZ7" totalsRowShown="0" headerRowDxfId="79" dataDxfId="77" headerRowBorderDxfId="78">
  <tableColumns count="1">
    <tableColumn id="1" xr3:uid="{04EE4F5D-9741-498E-8422-49F4C82DF34A}" name="Saltillo" dataDxfId="76"/>
  </tableColumns>
  <tableStyleInfo name="TableStyleLight8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D9FAE20-CDB5-415A-B8E5-AFBB45942C87}" name="Monterrey" displayName="Monterrey" ref="AY3:AY27" totalsRowShown="0" headerRowDxfId="75" dataDxfId="73" headerRowBorderDxfId="74">
  <tableColumns count="1">
    <tableColumn id="1" xr3:uid="{D88BE6C6-3113-45D3-8193-4148F4B21B87}" name="Monterrey" dataDxfId="7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rnesto@creare.com.mx" TargetMode="External"/><Relationship Id="rId1" Type="http://schemas.openxmlformats.org/officeDocument/2006/relationships/hyperlink" Target="mailto:karla@creare.com.m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ernesto@creare.com.mx" TargetMode="External"/><Relationship Id="rId1" Type="http://schemas.openxmlformats.org/officeDocument/2006/relationships/hyperlink" Target="mailto:karla@creare.com.m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9" Type="http://schemas.openxmlformats.org/officeDocument/2006/relationships/table" Target="../tables/table29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53" Type="http://schemas.openxmlformats.org/officeDocument/2006/relationships/table" Target="../tables/table53.xml"/><Relationship Id="rId58" Type="http://schemas.openxmlformats.org/officeDocument/2006/relationships/table" Target="../tables/table58.xml"/><Relationship Id="rId5" Type="http://schemas.openxmlformats.org/officeDocument/2006/relationships/table" Target="../tables/table5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56" Type="http://schemas.openxmlformats.org/officeDocument/2006/relationships/table" Target="../tables/table56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59" Type="http://schemas.openxmlformats.org/officeDocument/2006/relationships/table" Target="../tables/table59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54" Type="http://schemas.openxmlformats.org/officeDocument/2006/relationships/table" Target="../tables/table54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Relationship Id="rId57" Type="http://schemas.openxmlformats.org/officeDocument/2006/relationships/table" Target="../tables/table5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60" Type="http://schemas.openxmlformats.org/officeDocument/2006/relationships/table" Target="../tables/table6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80FE4-AE5A-4C79-8B32-A5252C68DFDB}">
  <sheetPr>
    <tabColor rgb="FFFFC000"/>
  </sheetPr>
  <dimension ref="A1:S9"/>
  <sheetViews>
    <sheetView topLeftCell="H1" zoomScale="80" zoomScaleNormal="80" workbookViewId="0">
      <selection activeCell="I15" sqref="I15"/>
    </sheetView>
  </sheetViews>
  <sheetFormatPr baseColWidth="10" defaultColWidth="11.5703125" defaultRowHeight="15"/>
  <cols>
    <col min="1" max="1" width="13.28515625" style="1" bestFit="1" customWidth="1"/>
    <col min="2" max="2" width="2.7109375" style="10" bestFit="1" customWidth="1"/>
    <col min="3" max="3" width="10.140625" style="10" customWidth="1"/>
    <col min="4" max="5" width="10.140625" style="1" customWidth="1"/>
    <col min="6" max="6" width="13.28515625" style="1" bestFit="1" customWidth="1"/>
    <col min="7" max="7" width="23" style="1" customWidth="1"/>
    <col min="8" max="8" width="11.7109375" style="1" customWidth="1"/>
    <col min="9" max="9" width="10.140625" style="1" customWidth="1"/>
    <col min="10" max="10" width="23.140625" style="1" customWidth="1"/>
    <col min="11" max="13" width="10.140625" style="1" customWidth="1"/>
    <col min="14" max="14" width="13.28515625" style="1" customWidth="1"/>
    <col min="15" max="16" width="10.140625" style="1" customWidth="1"/>
    <col min="17" max="17" width="13.28515625" style="1" customWidth="1"/>
    <col min="18" max="18" width="17.85546875" style="1" bestFit="1" customWidth="1"/>
    <col min="19" max="19" width="13.7109375" style="1" customWidth="1"/>
    <col min="20" max="16384" width="11.5703125" style="1"/>
  </cols>
  <sheetData>
    <row r="1" spans="1:19" s="2" customFormat="1">
      <c r="B1" s="277" t="s">
        <v>632</v>
      </c>
      <c r="C1" s="278" t="s">
        <v>402</v>
      </c>
      <c r="D1" s="278" t="s">
        <v>364</v>
      </c>
      <c r="E1" s="278" t="s">
        <v>631</v>
      </c>
      <c r="F1" s="278" t="s">
        <v>624</v>
      </c>
      <c r="G1" s="278" t="s">
        <v>640</v>
      </c>
      <c r="H1" s="410" t="s">
        <v>625</v>
      </c>
      <c r="I1" s="410"/>
      <c r="J1" s="278" t="s">
        <v>626</v>
      </c>
      <c r="K1" s="278" t="s">
        <v>628</v>
      </c>
      <c r="L1" s="410" t="s">
        <v>629</v>
      </c>
      <c r="M1" s="410"/>
      <c r="N1" s="410"/>
      <c r="O1" s="410" t="s">
        <v>630</v>
      </c>
      <c r="P1" s="410"/>
      <c r="Q1" s="411"/>
      <c r="R1" s="69" t="s">
        <v>700</v>
      </c>
      <c r="S1" s="279" t="s">
        <v>627</v>
      </c>
    </row>
    <row r="2" spans="1:19">
      <c r="B2" s="280">
        <v>1</v>
      </c>
      <c r="C2" s="281" t="s">
        <v>107</v>
      </c>
      <c r="D2" s="282" t="s">
        <v>229</v>
      </c>
      <c r="E2" s="282" t="s">
        <v>633</v>
      </c>
      <c r="F2" s="282" t="s">
        <v>634</v>
      </c>
      <c r="G2" s="282" t="s">
        <v>641</v>
      </c>
      <c r="H2" s="283">
        <v>44114</v>
      </c>
      <c r="I2" s="284">
        <f ca="1">(TODAY()-H2)/30.4</f>
        <v>63.486842105263158</v>
      </c>
      <c r="J2" s="282" t="s">
        <v>684</v>
      </c>
      <c r="K2" s="282" t="s">
        <v>635</v>
      </c>
      <c r="L2" s="282" t="s">
        <v>636</v>
      </c>
      <c r="M2" s="285" t="s">
        <v>637</v>
      </c>
      <c r="N2" s="282">
        <v>8181232345</v>
      </c>
      <c r="O2" s="282" t="s">
        <v>638</v>
      </c>
      <c r="P2" s="285" t="s">
        <v>639</v>
      </c>
      <c r="Q2" s="298">
        <v>8123234555</v>
      </c>
      <c r="R2" s="14" t="s">
        <v>687</v>
      </c>
      <c r="S2" s="286" t="s">
        <v>627</v>
      </c>
    </row>
    <row r="3" spans="1:19">
      <c r="A3" s="287" t="s">
        <v>619</v>
      </c>
      <c r="B3" s="289"/>
      <c r="C3" s="28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299"/>
      <c r="R3" s="98"/>
      <c r="S3" s="98"/>
    </row>
    <row r="4" spans="1:19">
      <c r="A4" s="287" t="s">
        <v>620</v>
      </c>
      <c r="B4" s="289"/>
      <c r="C4" s="28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299"/>
      <c r="R4" s="291"/>
      <c r="S4" s="291"/>
    </row>
    <row r="5" spans="1:19">
      <c r="A5" s="287" t="s">
        <v>621</v>
      </c>
      <c r="B5" s="289"/>
      <c r="C5" s="289"/>
      <c r="D5" s="290"/>
      <c r="E5" s="290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300"/>
      <c r="R5" s="292"/>
      <c r="S5" s="292"/>
    </row>
    <row r="6" spans="1:19">
      <c r="A6" s="287" t="s">
        <v>642</v>
      </c>
      <c r="B6" s="289"/>
      <c r="C6" s="289"/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290"/>
      <c r="O6" s="290"/>
      <c r="P6" s="290"/>
      <c r="Q6" s="301"/>
      <c r="R6" s="290"/>
      <c r="S6" s="290" t="s">
        <v>683</v>
      </c>
    </row>
    <row r="7" spans="1:19">
      <c r="A7" s="287" t="s">
        <v>622</v>
      </c>
      <c r="B7" s="289"/>
      <c r="C7" s="289"/>
      <c r="D7" s="290"/>
      <c r="E7" s="290"/>
      <c r="F7" s="290"/>
      <c r="G7" s="290"/>
      <c r="H7" s="290"/>
      <c r="I7" s="290"/>
      <c r="J7" s="290"/>
      <c r="K7" s="292"/>
      <c r="L7" s="292"/>
      <c r="M7" s="292"/>
      <c r="N7" s="292"/>
      <c r="O7" s="292"/>
      <c r="P7" s="292"/>
      <c r="Q7" s="300"/>
      <c r="R7" s="290"/>
      <c r="S7" s="290" t="s">
        <v>683</v>
      </c>
    </row>
    <row r="8" spans="1:19">
      <c r="A8" s="287" t="s">
        <v>623</v>
      </c>
      <c r="B8" s="289"/>
      <c r="C8" s="289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301"/>
      <c r="R8" s="290"/>
      <c r="S8" s="290"/>
    </row>
    <row r="9" spans="1:19">
      <c r="J9" s="132" t="s">
        <v>685</v>
      </c>
      <c r="K9" s="132" t="s">
        <v>685</v>
      </c>
      <c r="L9" s="132" t="s">
        <v>685</v>
      </c>
      <c r="M9" s="132" t="s">
        <v>685</v>
      </c>
      <c r="N9" s="132" t="s">
        <v>685</v>
      </c>
      <c r="O9" s="132" t="s">
        <v>685</v>
      </c>
      <c r="P9" s="132" t="s">
        <v>685</v>
      </c>
      <c r="Q9" s="132" t="s">
        <v>685</v>
      </c>
      <c r="R9" s="132" t="s">
        <v>685</v>
      </c>
    </row>
  </sheetData>
  <mergeCells count="3">
    <mergeCell ref="L1:N1"/>
    <mergeCell ref="O1:Q1"/>
    <mergeCell ref="H1:I1"/>
  </mergeCells>
  <phoneticPr fontId="4" type="noConversion"/>
  <conditionalFormatting sqref="C2">
    <cfRule type="containsText" dxfId="71" priority="1" operator="containsText" text="No">
      <formula>NOT(ISERROR(SEARCH("No",C2)))</formula>
    </cfRule>
  </conditionalFormatting>
  <hyperlinks>
    <hyperlink ref="M2" r:id="rId1" xr:uid="{DEBF9FC2-F706-479C-ADDB-2842C8B0FEEF}"/>
    <hyperlink ref="P2" r:id="rId2" xr:uid="{7D26BEF4-5A26-4B47-8830-7E9A17EBC764}"/>
  </hyperlinks>
  <pageMargins left="0.7" right="0.7" top="0.75" bottom="0.75" header="0.3" footer="0.3"/>
  <pageSetup orientation="portrait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C9CAC0-0F58-4EFF-ACD5-4C15EFDEC81E}">
          <x14:formula1>
            <xm:f>'CAT Propiedades'!#REF!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50C6-E1B8-4C20-A14A-63397B9C378A}">
  <sheetPr>
    <tabColor rgb="FFB40DF7"/>
  </sheetPr>
  <dimension ref="A1:AZ16"/>
  <sheetViews>
    <sheetView topLeftCell="U1" zoomScale="60" zoomScaleNormal="60" workbookViewId="0">
      <selection activeCell="AE39" sqref="AE39"/>
    </sheetView>
  </sheetViews>
  <sheetFormatPr baseColWidth="10" defaultColWidth="11.5703125" defaultRowHeight="15"/>
  <cols>
    <col min="1" max="1" width="15.85546875" style="1" bestFit="1" customWidth="1"/>
    <col min="2" max="2" width="2" style="10" bestFit="1" customWidth="1"/>
    <col min="3" max="3" width="4" style="10" customWidth="1"/>
    <col min="4" max="4" width="15.28515625" style="1" bestFit="1" customWidth="1"/>
    <col min="5" max="5" width="11.85546875" style="1" bestFit="1" customWidth="1"/>
    <col min="6" max="6" width="7.5703125" style="1" bestFit="1" customWidth="1"/>
    <col min="7" max="9" width="7.140625" style="1" bestFit="1" customWidth="1"/>
    <col min="10" max="10" width="13.28515625" style="1" customWidth="1"/>
    <col min="11" max="11" width="7.42578125" style="1" bestFit="1" customWidth="1"/>
    <col min="12" max="12" width="7.7109375" style="1" bestFit="1" customWidth="1"/>
    <col min="13" max="13" width="12.140625" style="1" bestFit="1" customWidth="1"/>
    <col min="14" max="14" width="10.28515625" style="1" bestFit="1" customWidth="1"/>
    <col min="15" max="15" width="6.7109375" style="1" bestFit="1" customWidth="1"/>
    <col min="16" max="17" width="6.28515625" style="1" bestFit="1" customWidth="1"/>
    <col min="18" max="19" width="6.28515625" style="1" customWidth="1"/>
    <col min="20" max="20" width="8.85546875" style="1" bestFit="1" customWidth="1"/>
    <col min="21" max="21" width="18.42578125" style="1" bestFit="1" customWidth="1"/>
    <col min="22" max="22" width="4.28515625" style="1" bestFit="1" customWidth="1"/>
    <col min="23" max="23" width="5" style="1" bestFit="1" customWidth="1"/>
    <col min="24" max="29" width="4.28515625" style="1" bestFit="1" customWidth="1"/>
    <col min="30" max="30" width="2.7109375" customWidth="1"/>
    <col min="31" max="31" width="15.5703125" style="1" bestFit="1" customWidth="1"/>
    <col min="32" max="33" width="18.7109375" style="1" bestFit="1" customWidth="1"/>
    <col min="34" max="34" width="6.140625" style="1" bestFit="1" customWidth="1"/>
    <col min="35" max="35" width="14.28515625" style="1" bestFit="1" customWidth="1"/>
    <col min="36" max="36" width="18.7109375" style="1" bestFit="1" customWidth="1"/>
    <col min="37" max="37" width="18.7109375" style="1" customWidth="1"/>
    <col min="38" max="38" width="12" style="1" customWidth="1"/>
    <col min="39" max="39" width="12.28515625" style="1" customWidth="1"/>
    <col min="40" max="40" width="8.7109375" style="1" bestFit="1" customWidth="1"/>
    <col min="41" max="41" width="11.42578125"/>
    <col min="42" max="43" width="10.140625" style="1" customWidth="1"/>
    <col min="44" max="44" width="13.28515625" style="1" customWidth="1"/>
    <col min="45" max="46" width="10.140625" style="1" customWidth="1"/>
    <col min="47" max="47" width="13.28515625" style="1" customWidth="1"/>
    <col min="48" max="48" width="17.85546875" style="1" bestFit="1" customWidth="1"/>
    <col min="49" max="49" width="25" style="1" bestFit="1" customWidth="1"/>
    <col min="50" max="50" width="9.7109375" style="1" bestFit="1" customWidth="1"/>
    <col min="51" max="51" width="8.7109375" style="1" bestFit="1" customWidth="1"/>
    <col min="52" max="52" width="8.7109375" style="1" customWidth="1"/>
    <col min="53" max="16384" width="11.5703125" style="1"/>
  </cols>
  <sheetData>
    <row r="1" spans="1:52" s="2" customFormat="1">
      <c r="B1" s="9"/>
      <c r="C1" s="9"/>
      <c r="D1" s="414" t="s">
        <v>71</v>
      </c>
      <c r="E1" s="414" t="s">
        <v>69</v>
      </c>
      <c r="F1" s="414" t="s">
        <v>96</v>
      </c>
      <c r="G1" s="414" t="s">
        <v>133</v>
      </c>
      <c r="H1" s="414" t="s">
        <v>134</v>
      </c>
      <c r="I1" s="414" t="s">
        <v>137</v>
      </c>
      <c r="J1" s="414" t="s">
        <v>2</v>
      </c>
      <c r="K1" s="414" t="s">
        <v>72</v>
      </c>
      <c r="L1" s="414" t="s">
        <v>74</v>
      </c>
      <c r="M1" s="414" t="s">
        <v>0</v>
      </c>
      <c r="N1" s="414" t="s">
        <v>53</v>
      </c>
      <c r="O1" s="414" t="s">
        <v>1</v>
      </c>
      <c r="P1" s="420" t="s">
        <v>77</v>
      </c>
      <c r="Q1" s="420"/>
      <c r="R1" s="414" t="s">
        <v>78</v>
      </c>
      <c r="S1" s="414"/>
      <c r="T1" s="414" t="s">
        <v>79</v>
      </c>
      <c r="U1" s="414" t="s">
        <v>12</v>
      </c>
      <c r="V1" s="419" t="s">
        <v>94</v>
      </c>
      <c r="W1" s="419"/>
      <c r="X1" s="419"/>
      <c r="Y1" s="419"/>
      <c r="Z1" s="419"/>
      <c r="AA1" s="419"/>
      <c r="AB1" s="419"/>
      <c r="AC1" s="419"/>
      <c r="AE1" s="416" t="s">
        <v>324</v>
      </c>
      <c r="AF1" s="417" t="s">
        <v>325</v>
      </c>
      <c r="AG1" s="413" t="s">
        <v>327</v>
      </c>
      <c r="AH1" s="413" t="s">
        <v>328</v>
      </c>
      <c r="AI1" s="416" t="s">
        <v>456</v>
      </c>
      <c r="AJ1" s="417" t="s">
        <v>326</v>
      </c>
      <c r="AK1" s="416" t="s">
        <v>708</v>
      </c>
      <c r="AL1" s="416" t="s">
        <v>696</v>
      </c>
      <c r="AM1" s="141" t="s">
        <v>692</v>
      </c>
      <c r="AN1" s="416" t="s">
        <v>695</v>
      </c>
      <c r="AP1" s="1"/>
      <c r="AQ1" s="1"/>
      <c r="AR1" s="1"/>
      <c r="AS1" s="1"/>
      <c r="AT1" s="1"/>
      <c r="AU1" s="1"/>
      <c r="AV1" s="421" t="s">
        <v>686</v>
      </c>
      <c r="AW1" s="418" t="s">
        <v>457</v>
      </c>
      <c r="AX1" s="412" t="s">
        <v>455</v>
      </c>
      <c r="AY1" s="415" t="s">
        <v>627</v>
      </c>
      <c r="AZ1" s="415" t="s">
        <v>694</v>
      </c>
    </row>
    <row r="2" spans="1:52" s="2" customFormat="1">
      <c r="B2" s="9"/>
      <c r="C2" s="9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13" t="s">
        <v>75</v>
      </c>
      <c r="Q2" s="13" t="s">
        <v>76</v>
      </c>
      <c r="R2" s="303" t="s">
        <v>75</v>
      </c>
      <c r="S2" s="303" t="s">
        <v>76</v>
      </c>
      <c r="T2" s="414"/>
      <c r="U2" s="414"/>
      <c r="V2" s="419" t="s">
        <v>73</v>
      </c>
      <c r="W2" s="419"/>
      <c r="X2" s="419" t="s">
        <v>80</v>
      </c>
      <c r="Y2" s="419"/>
      <c r="Z2" s="419" t="s">
        <v>81</v>
      </c>
      <c r="AA2" s="419"/>
      <c r="AB2" s="419" t="s">
        <v>82</v>
      </c>
      <c r="AC2" s="419"/>
      <c r="AE2" s="416"/>
      <c r="AF2" s="417"/>
      <c r="AG2" s="413"/>
      <c r="AH2" s="413"/>
      <c r="AI2" s="416"/>
      <c r="AJ2" s="417"/>
      <c r="AK2" s="416"/>
      <c r="AL2" s="416"/>
      <c r="AM2" s="141" t="s">
        <v>693</v>
      </c>
      <c r="AN2" s="416"/>
      <c r="AP2" s="410" t="s">
        <v>629</v>
      </c>
      <c r="AQ2" s="410"/>
      <c r="AR2" s="410"/>
      <c r="AS2" s="410" t="s">
        <v>630</v>
      </c>
      <c r="AT2" s="410"/>
      <c r="AU2" s="411"/>
      <c r="AV2" s="414"/>
      <c r="AW2" s="418"/>
      <c r="AX2" s="412"/>
      <c r="AY2" s="415"/>
      <c r="AZ2" s="415"/>
    </row>
    <row r="3" spans="1:52" s="2" customFormat="1" ht="7.9" customHeight="1">
      <c r="B3" s="9"/>
      <c r="C3" s="36"/>
      <c r="AP3" s="302"/>
      <c r="AQ3" s="302"/>
      <c r="AR3" s="302"/>
      <c r="AS3" s="302"/>
      <c r="AT3" s="302"/>
      <c r="AU3" s="302"/>
    </row>
    <row r="4" spans="1:52">
      <c r="B4" s="11">
        <v>1</v>
      </c>
      <c r="C4" s="48" t="s">
        <v>107</v>
      </c>
      <c r="D4" s="15" t="s">
        <v>231</v>
      </c>
      <c r="E4" s="15" t="s">
        <v>248</v>
      </c>
      <c r="F4" s="15" t="s">
        <v>331</v>
      </c>
      <c r="G4" s="15" t="s">
        <v>336</v>
      </c>
      <c r="H4" s="15" t="s">
        <v>336</v>
      </c>
      <c r="I4" s="15" t="s">
        <v>337</v>
      </c>
      <c r="J4" s="15" t="s">
        <v>468</v>
      </c>
      <c r="K4" s="14">
        <v>1</v>
      </c>
      <c r="L4" s="14">
        <v>15</v>
      </c>
      <c r="M4" s="4"/>
      <c r="N4" s="4"/>
      <c r="O4" s="4"/>
      <c r="P4" s="14">
        <v>88</v>
      </c>
      <c r="Q4" s="14">
        <v>88</v>
      </c>
      <c r="R4" s="14">
        <v>2</v>
      </c>
      <c r="S4" s="14">
        <v>2</v>
      </c>
      <c r="T4" s="14" t="s">
        <v>107</v>
      </c>
      <c r="U4" s="4"/>
      <c r="V4" s="14">
        <v>20</v>
      </c>
      <c r="W4" s="14">
        <v>1760</v>
      </c>
      <c r="X4" s="14">
        <v>3</v>
      </c>
      <c r="Y4" s="14">
        <v>160</v>
      </c>
      <c r="Z4" s="14"/>
      <c r="AA4" s="14"/>
      <c r="AB4" s="14"/>
      <c r="AC4" s="14"/>
      <c r="AE4" s="20">
        <v>44501</v>
      </c>
      <c r="AF4" s="73" t="str">
        <f t="shared" ref="AF4" ca="1" si="0">INT(((TODAY()-AE4)/365)) &amp; " años y " &amp; INT((((TODAY()-AE4)/365)-INT(((TODAY()-AE4)/365)))*12) &amp; " meses"</f>
        <v>4 años y 2 meses</v>
      </c>
      <c r="AG4" s="14">
        <v>15</v>
      </c>
      <c r="AH4" s="74">
        <f>AG4/V4</f>
        <v>0.75</v>
      </c>
      <c r="AI4" s="20">
        <v>44927</v>
      </c>
      <c r="AJ4" s="72" t="str">
        <f t="shared" ref="AJ4" ca="1" si="1">INT(((TODAY()-AI4)/365)) &amp; " años y " &amp; INT((((TODAY()-AI4)/365)-INT(((TODAY()-AI4)/365)))*12) &amp; " meses"</f>
        <v>3 años y 0 meses</v>
      </c>
      <c r="AK4" s="72"/>
      <c r="AL4" s="20">
        <v>45566</v>
      </c>
      <c r="AM4" s="72"/>
      <c r="AN4" s="20">
        <v>45566</v>
      </c>
      <c r="AP4" s="282" t="s">
        <v>636</v>
      </c>
      <c r="AQ4" s="285" t="s">
        <v>637</v>
      </c>
      <c r="AR4" s="282">
        <v>8181232345</v>
      </c>
      <c r="AS4" s="282" t="s">
        <v>638</v>
      </c>
      <c r="AT4" s="285" t="s">
        <v>639</v>
      </c>
      <c r="AU4" s="298">
        <v>8123234555</v>
      </c>
      <c r="AV4" s="14" t="s">
        <v>687</v>
      </c>
      <c r="AW4" s="4" t="s">
        <v>691</v>
      </c>
      <c r="AX4" s="4"/>
      <c r="AY4" s="4"/>
      <c r="AZ4" s="4"/>
    </row>
    <row r="5" spans="1:52">
      <c r="A5" s="287" t="s">
        <v>619</v>
      </c>
      <c r="B5" s="289"/>
      <c r="C5" s="28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299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1"/>
      <c r="AE5" s="98"/>
      <c r="AF5" s="98"/>
      <c r="AG5" s="98"/>
      <c r="AH5" s="98"/>
      <c r="AI5" s="98"/>
      <c r="AJ5" s="98"/>
      <c r="AK5" s="98"/>
      <c r="AL5" s="306"/>
      <c r="AM5" s="306"/>
      <c r="AN5" s="306"/>
      <c r="AO5" s="1"/>
      <c r="AP5" s="98"/>
      <c r="AQ5" s="98"/>
      <c r="AR5" s="98"/>
      <c r="AS5" s="98"/>
      <c r="AT5" s="98"/>
      <c r="AU5" s="299"/>
      <c r="AV5" s="98"/>
      <c r="AW5" s="98"/>
      <c r="AX5" s="98"/>
      <c r="AY5" s="98"/>
      <c r="AZ5" s="98"/>
    </row>
    <row r="6" spans="1:52">
      <c r="A6" s="287" t="s">
        <v>620</v>
      </c>
      <c r="B6" s="289"/>
      <c r="C6" s="28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299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1"/>
      <c r="AE6" s="98"/>
      <c r="AF6" s="98"/>
      <c r="AG6" s="98"/>
      <c r="AH6" s="98"/>
      <c r="AI6" s="98"/>
      <c r="AJ6" s="98"/>
      <c r="AK6" s="98"/>
      <c r="AL6" s="306"/>
      <c r="AM6" s="306"/>
      <c r="AN6" s="306"/>
      <c r="AO6" s="1"/>
      <c r="AP6" s="98"/>
      <c r="AQ6" s="98"/>
      <c r="AR6" s="98"/>
      <c r="AS6" s="98"/>
      <c r="AT6" s="98"/>
      <c r="AU6" s="299"/>
      <c r="AV6" s="98"/>
      <c r="AW6" s="98"/>
      <c r="AX6" s="98"/>
      <c r="AY6" s="98"/>
      <c r="AZ6" s="98"/>
    </row>
    <row r="7" spans="1:52">
      <c r="A7" s="287" t="s">
        <v>621</v>
      </c>
      <c r="B7" s="289"/>
      <c r="C7" s="289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301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  <c r="AD7" s="1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1"/>
      <c r="AP7" s="290"/>
      <c r="AQ7" s="290"/>
      <c r="AR7" s="290"/>
      <c r="AS7" s="292"/>
      <c r="AT7" s="292"/>
      <c r="AU7" s="300"/>
      <c r="AV7" s="290"/>
      <c r="AW7" s="290"/>
      <c r="AX7" s="290"/>
      <c r="AY7" s="292"/>
      <c r="AZ7" s="292"/>
    </row>
    <row r="8" spans="1:52">
      <c r="A8" s="287" t="s">
        <v>642</v>
      </c>
      <c r="B8" s="289"/>
      <c r="C8" s="289"/>
      <c r="D8" s="290"/>
      <c r="E8" s="290"/>
      <c r="F8" s="290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300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1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1"/>
      <c r="AP8" s="290"/>
      <c r="AQ8" s="290"/>
      <c r="AR8" s="290"/>
      <c r="AS8" s="290"/>
      <c r="AT8" s="290"/>
      <c r="AU8" s="301"/>
      <c r="AV8" s="292"/>
      <c r="AW8" s="292"/>
      <c r="AX8" s="292"/>
      <c r="AY8" s="290" t="s">
        <v>699</v>
      </c>
      <c r="AZ8" s="292"/>
    </row>
    <row r="9" spans="1:52">
      <c r="A9" s="287" t="s">
        <v>703</v>
      </c>
      <c r="B9" s="289"/>
      <c r="C9" s="289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301"/>
      <c r="R9" s="290"/>
      <c r="S9" s="290"/>
      <c r="T9" s="290"/>
      <c r="U9" s="290"/>
      <c r="V9" s="290"/>
      <c r="W9" s="290"/>
      <c r="X9" s="290"/>
      <c r="Y9" s="290"/>
      <c r="Z9" s="290"/>
      <c r="AA9" s="290"/>
      <c r="AB9" s="290"/>
      <c r="AC9" s="290"/>
      <c r="AD9" s="1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1"/>
      <c r="AP9" s="292"/>
      <c r="AQ9" s="292"/>
      <c r="AR9" s="292"/>
      <c r="AS9" s="292"/>
      <c r="AT9" s="292"/>
      <c r="AU9" s="300"/>
      <c r="AV9" s="290"/>
      <c r="AW9" s="290"/>
      <c r="AX9" s="290"/>
      <c r="AY9" s="290" t="s">
        <v>704</v>
      </c>
      <c r="AZ9" s="290"/>
    </row>
    <row r="10" spans="1:52">
      <c r="A10" s="287" t="s">
        <v>623</v>
      </c>
      <c r="B10" s="289"/>
      <c r="C10" s="131"/>
      <c r="D10" s="4"/>
      <c r="E10" s="4"/>
      <c r="F10" s="4"/>
      <c r="G10" s="292"/>
      <c r="H10" s="292"/>
      <c r="I10" s="292"/>
      <c r="J10" s="290"/>
      <c r="K10" s="290"/>
      <c r="L10" s="290"/>
      <c r="M10" s="290"/>
      <c r="N10" s="290"/>
      <c r="O10" s="290"/>
      <c r="P10" s="290"/>
      <c r="Q10" s="301"/>
      <c r="R10" s="290"/>
      <c r="S10" s="290"/>
      <c r="T10" s="290"/>
      <c r="U10" s="290"/>
      <c r="V10" s="290"/>
      <c r="W10" s="290"/>
      <c r="X10" s="290"/>
      <c r="Y10" s="290"/>
      <c r="Z10" s="290"/>
      <c r="AA10" s="290"/>
      <c r="AB10" s="290"/>
      <c r="AC10" s="290"/>
      <c r="AD10" s="1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1"/>
      <c r="AP10" s="290"/>
      <c r="AQ10" s="290"/>
      <c r="AR10" s="290"/>
      <c r="AS10" s="290"/>
      <c r="AT10" s="290"/>
      <c r="AU10" s="301"/>
      <c r="AV10" s="290"/>
      <c r="AW10" s="290"/>
      <c r="AX10" s="290"/>
      <c r="AY10" s="290"/>
      <c r="AZ10" s="290"/>
    </row>
    <row r="11" spans="1:52">
      <c r="J11" s="132"/>
      <c r="K11" s="132"/>
      <c r="L11" s="132"/>
      <c r="M11" s="132"/>
      <c r="N11" s="132"/>
      <c r="O11" s="132"/>
      <c r="P11" s="132"/>
      <c r="Q11" s="132"/>
      <c r="R11" s="132"/>
      <c r="V11" s="1" t="s">
        <v>685</v>
      </c>
      <c r="W11" s="1" t="s">
        <v>685</v>
      </c>
      <c r="X11" s="1" t="s">
        <v>685</v>
      </c>
      <c r="Y11" s="1" t="s">
        <v>685</v>
      </c>
      <c r="Z11" s="1" t="s">
        <v>685</v>
      </c>
      <c r="AA11" s="1" t="s">
        <v>685</v>
      </c>
      <c r="AB11" s="1" t="s">
        <v>685</v>
      </c>
      <c r="AC11" s="1" t="s">
        <v>685</v>
      </c>
      <c r="AD11" s="1"/>
      <c r="AO11" s="1"/>
      <c r="AP11" s="132" t="s">
        <v>685</v>
      </c>
      <c r="AQ11" s="132" t="s">
        <v>685</v>
      </c>
      <c r="AR11" s="132" t="s">
        <v>685</v>
      </c>
      <c r="AS11" s="132" t="s">
        <v>685</v>
      </c>
      <c r="AT11" s="132" t="s">
        <v>685</v>
      </c>
      <c r="AU11" s="132" t="s">
        <v>685</v>
      </c>
      <c r="AV11" s="132" t="s">
        <v>685</v>
      </c>
      <c r="AW11" s="132" t="s">
        <v>685</v>
      </c>
    </row>
    <row r="12" spans="1:52">
      <c r="AD12" s="1"/>
      <c r="AO12" s="1"/>
      <c r="AP12" s="1" t="s">
        <v>701</v>
      </c>
      <c r="AQ12" s="1" t="s">
        <v>701</v>
      </c>
      <c r="AR12" s="1" t="s">
        <v>701</v>
      </c>
      <c r="AS12" s="1" t="s">
        <v>701</v>
      </c>
      <c r="AT12" s="1" t="s">
        <v>701</v>
      </c>
      <c r="AU12" s="1" t="s">
        <v>701</v>
      </c>
      <c r="AV12" s="1" t="s">
        <v>701</v>
      </c>
    </row>
    <row r="13" spans="1:52">
      <c r="AD13" s="1"/>
      <c r="AO13" s="1"/>
    </row>
    <row r="14" spans="1:52">
      <c r="AD14" s="1"/>
      <c r="AO14" s="1"/>
    </row>
    <row r="15" spans="1:52">
      <c r="AD15" s="1"/>
      <c r="AO15" s="1"/>
    </row>
    <row r="16" spans="1:52">
      <c r="AD16" s="1"/>
      <c r="AO16" s="1"/>
    </row>
  </sheetData>
  <customSheetViews>
    <customSheetView guid="{13D93A47-B4CB-4772-9EB1-4DA9A3D608D6}">
      <pane xSplit="3" ySplit="3" topLeftCell="D4" activePane="bottomRight" state="frozen"/>
      <selection pane="bottomRight" activeCell="G6" sqref="G6"/>
      <pageMargins left="0.7" right="0.7" top="0.75" bottom="0.75" header="0.3" footer="0.3"/>
    </customSheetView>
    <customSheetView guid="{8FBD04A5-416D-4DBA-B024-6C6AB31A061B}">
      <pane xSplit="3" ySplit="3" topLeftCell="D4" activePane="bottomRight" state="frozen"/>
      <selection pane="bottomRight" activeCell="G6" sqref="G6"/>
      <pageMargins left="0.7" right="0.7" top="0.75" bottom="0.75" header="0.3" footer="0.3"/>
    </customSheetView>
  </customSheetViews>
  <mergeCells count="37">
    <mergeCell ref="P1:Q1"/>
    <mergeCell ref="AV1:AV2"/>
    <mergeCell ref="AL1:AL2"/>
    <mergeCell ref="AN1:AN2"/>
    <mergeCell ref="U1:U2"/>
    <mergeCell ref="D1:D2"/>
    <mergeCell ref="V1:AC1"/>
    <mergeCell ref="AB2:AC2"/>
    <mergeCell ref="Z2:AA2"/>
    <mergeCell ref="X2:Y2"/>
    <mergeCell ref="V2:W2"/>
    <mergeCell ref="T1:T2"/>
    <mergeCell ref="M1:M2"/>
    <mergeCell ref="F1:F2"/>
    <mergeCell ref="G1:G2"/>
    <mergeCell ref="H1:H2"/>
    <mergeCell ref="I1:I2"/>
    <mergeCell ref="L1:L2"/>
    <mergeCell ref="K1:K2"/>
    <mergeCell ref="N1:N2"/>
    <mergeCell ref="R1:S1"/>
    <mergeCell ref="AX1:AX2"/>
    <mergeCell ref="AH1:AH2"/>
    <mergeCell ref="J1:J2"/>
    <mergeCell ref="E1:E2"/>
    <mergeCell ref="AZ1:AZ2"/>
    <mergeCell ref="AP2:AR2"/>
    <mergeCell ref="AS2:AU2"/>
    <mergeCell ref="AK1:AK2"/>
    <mergeCell ref="AY1:AY2"/>
    <mergeCell ref="AE1:AE2"/>
    <mergeCell ref="AI1:AI2"/>
    <mergeCell ref="AF1:AF2"/>
    <mergeCell ref="AJ1:AJ2"/>
    <mergeCell ref="AG1:AG2"/>
    <mergeCell ref="AW1:AW2"/>
    <mergeCell ref="O1:O2"/>
  </mergeCells>
  <phoneticPr fontId="4" type="noConversion"/>
  <conditionalFormatting sqref="C4">
    <cfRule type="containsText" dxfId="70" priority="1" operator="containsText" text="No">
      <formula>NOT(ISERROR(SEARCH("No",C4)))</formula>
    </cfRule>
  </conditionalFormatting>
  <dataValidations count="3">
    <dataValidation type="list" allowBlank="1" showInputMessage="1" showErrorMessage="1" sqref="E4 G4" xr:uid="{9B59212C-14FF-4EF2-8CE1-E6BE17AD587C}">
      <formula1>INDIRECT(D4)</formula1>
    </dataValidation>
    <dataValidation type="list" allowBlank="1" showInputMessage="1" showErrorMessage="1" sqref="H4" xr:uid="{AD4924F1-A49F-4B3E-A621-AEE7B4BFFD85}">
      <formula1>INDIRECT(F4)</formula1>
    </dataValidation>
    <dataValidation type="list" allowBlank="1" showInputMessage="1" showErrorMessage="1" sqref="I4" xr:uid="{85E88B8F-C266-455A-BE23-F4CAA35BAC67}">
      <formula1>INDIRECT(F4)</formula1>
    </dataValidation>
  </dataValidations>
  <hyperlinks>
    <hyperlink ref="AQ4" r:id="rId1" xr:uid="{6A31F3F4-9442-4F7C-B273-CA3D4A45989B}"/>
    <hyperlink ref="AT4" r:id="rId2" xr:uid="{2E93E273-9E3B-4511-9752-86FB258BE8D2}"/>
  </hyperlinks>
  <pageMargins left="0.7" right="0.7" top="0.75" bottom="0.75" header="0.3" footer="0.3"/>
  <pageSetup orientation="portrait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" operator="beginsWith" id="{73A8EAFE-FCF7-4918-B2F6-6F6754FE51F7}">
            <xm:f>LEFT(AJ4,LEN("-"))="-"</xm:f>
            <xm:f>"-"</xm:f>
            <x14:dxf>
              <font>
                <b val="0"/>
                <i val="0"/>
                <color rgb="FFFF0000"/>
              </font>
            </x14:dxf>
          </x14:cfRule>
          <xm:sqref>AJ4:AK4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D95805B-643C-4491-A50E-295D2B8CB79F}">
          <x14:formula1>
            <xm:f>'CAT Propiedades'!$V$3:$V$12</xm:f>
          </x14:formula1>
          <xm:sqref>J4</xm:sqref>
        </x14:dataValidation>
        <x14:dataValidation type="list" allowBlank="1" showInputMessage="1" showErrorMessage="1" xr:uid="{56DC13F9-FCEC-498C-9489-F582612EE001}">
          <x14:formula1>
            <xm:f>'CAT Propiedades'!$H$3:$H$52</xm:f>
          </x14:formula1>
          <xm:sqref>D4</xm:sqref>
        </x14:dataValidation>
        <x14:dataValidation type="list" allowBlank="1" showInputMessage="1" showErrorMessage="1" xr:uid="{34934F57-6CDA-4967-84EA-5FA8830476E1}">
          <x14:formula1>
            <xm:f>'CAT Propiedades'!$C$3:$C$22</xm:f>
          </x14:formula1>
          <xm:sqref>F4</xm:sqref>
        </x14:dataValidation>
        <x14:dataValidation type="list" allowBlank="1" showInputMessage="1" showErrorMessage="1" xr:uid="{D149544E-DCD5-4729-8A49-4D6D47F0B037}">
          <x14:formula1>
            <xm:f>'CAT Propiedades'!#REF!</xm:f>
          </x14:formula1>
          <xm:sqref>T4 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4B5A-33C2-459E-9EA0-EB6B08B07A1B}">
  <sheetPr>
    <tabColor rgb="FFF846E7"/>
    <pageSetUpPr autoPageBreaks="0"/>
  </sheetPr>
  <dimension ref="A1:CN20"/>
  <sheetViews>
    <sheetView zoomScaleNormal="100" workbookViewId="0">
      <pane xSplit="7" ySplit="2" topLeftCell="Z3" activePane="bottomRight" state="frozen"/>
      <selection activeCell="AK3" sqref="AK3"/>
      <selection pane="topRight" activeCell="AK3" sqref="AK3"/>
      <selection pane="bottomLeft" activeCell="AK3" sqref="AK3"/>
      <selection pane="bottomRight" activeCell="AK3" sqref="AK3"/>
    </sheetView>
  </sheetViews>
  <sheetFormatPr baseColWidth="10" defaultColWidth="40.28515625" defaultRowHeight="15" outlineLevelCol="1"/>
  <cols>
    <col min="1" max="1" width="4.7109375" style="10" customWidth="1"/>
    <col min="2" max="2" width="3.7109375" style="10" customWidth="1"/>
    <col min="3" max="3" width="14.28515625" style="10" bestFit="1" customWidth="1"/>
    <col min="4" max="4" width="10" style="10" customWidth="1"/>
    <col min="5" max="5" width="17.85546875" style="10" customWidth="1"/>
    <col min="6" max="6" width="14.28515625" style="1" bestFit="1" customWidth="1"/>
    <col min="7" max="7" width="2.5703125" style="1" customWidth="1"/>
    <col min="8" max="8" width="8.28515625" style="1" bestFit="1" customWidth="1"/>
    <col min="9" max="9" width="8.28515625" style="1" customWidth="1"/>
    <col min="10" max="10" width="21.42578125" style="1" customWidth="1"/>
    <col min="11" max="11" width="10.42578125" style="1" customWidth="1"/>
    <col min="12" max="12" width="11.140625" style="1" customWidth="1"/>
    <col min="13" max="13" width="13" style="1" customWidth="1"/>
    <col min="14" max="14" width="8.28515625" style="1" customWidth="1"/>
    <col min="15" max="15" width="6" style="1" customWidth="1"/>
    <col min="16" max="16" width="10" style="1" customWidth="1"/>
    <col min="17" max="17" width="14.7109375" style="1" customWidth="1"/>
    <col min="18" max="18" width="13.140625" style="1" customWidth="1"/>
    <col min="19" max="19" width="2" style="1" customWidth="1"/>
    <col min="20" max="20" width="9.42578125" style="1" bestFit="1" customWidth="1"/>
    <col min="21" max="21" width="9.85546875" style="1" customWidth="1"/>
    <col min="22" max="22" width="2.5703125" style="1" customWidth="1"/>
    <col min="23" max="23" width="6.42578125" style="1" customWidth="1"/>
    <col min="24" max="24" width="7.140625" style="1" customWidth="1"/>
    <col min="25" max="25" width="9.28515625" style="1" customWidth="1"/>
    <col min="26" max="26" width="7.5703125" style="1" customWidth="1"/>
    <col min="27" max="27" width="8" style="1" customWidth="1"/>
    <col min="28" max="28" width="7.28515625" style="1" customWidth="1"/>
    <col min="29" max="29" width="4.28515625" style="1" customWidth="1"/>
    <col min="30" max="30" width="6.28515625" style="1" customWidth="1"/>
    <col min="31" max="31" width="5.140625" style="1" customWidth="1"/>
    <col min="32" max="32" width="4.85546875" style="1" customWidth="1"/>
    <col min="33" max="33" width="7.140625" style="1" customWidth="1"/>
    <col min="34" max="34" width="6.5703125" style="1" customWidth="1"/>
    <col min="35" max="36" width="6.7109375" style="1" customWidth="1"/>
    <col min="37" max="37" width="9.7109375" style="1" bestFit="1" customWidth="1"/>
    <col min="38" max="38" width="4.85546875" style="1" customWidth="1"/>
    <col min="39" max="39" width="6.28515625" style="1" customWidth="1"/>
    <col min="40" max="40" width="2.5703125" style="1" customWidth="1"/>
    <col min="41" max="41" width="7" style="1" customWidth="1"/>
    <col min="42" max="42" width="12.28515625" style="1" customWidth="1"/>
    <col min="43" max="43" width="10.140625" style="1" customWidth="1"/>
    <col min="44" max="44" width="12.28515625" style="1" customWidth="1"/>
    <col min="45" max="45" width="11.28515625" style="1" customWidth="1"/>
    <col min="46" max="46" width="11.140625" style="1" customWidth="1"/>
    <col min="47" max="47" width="13.85546875" style="1" customWidth="1"/>
    <col min="48" max="48" width="7.28515625" style="1" bestFit="1" customWidth="1"/>
    <col min="49" max="49" width="12.28515625" style="1" bestFit="1" customWidth="1"/>
    <col min="50" max="50" width="2.5703125" style="1" customWidth="1"/>
    <col min="51" max="51" width="14.140625" style="1" customWidth="1" outlineLevel="1"/>
    <col min="52" max="52" width="2.5703125" style="1" customWidth="1"/>
    <col min="53" max="53" width="9.7109375" style="1" customWidth="1"/>
    <col min="54" max="54" width="13.28515625" style="1" customWidth="1"/>
    <col min="55" max="55" width="12.140625" style="1" customWidth="1"/>
    <col min="56" max="56" width="10.28515625" style="1" customWidth="1"/>
    <col min="57" max="57" width="12.28515625" style="1" customWidth="1"/>
    <col min="58" max="58" width="2.5703125" style="1" customWidth="1"/>
    <col min="59" max="59" width="12.28515625" style="1" customWidth="1"/>
    <col min="60" max="60" width="14.5703125" style="1" bestFit="1" customWidth="1"/>
    <col min="61" max="61" width="9.85546875" style="1" customWidth="1"/>
    <col min="62" max="62" width="9.7109375" style="1" customWidth="1"/>
    <col min="63" max="63" width="16" style="1" bestFit="1" customWidth="1"/>
    <col min="64" max="64" width="14.140625" style="1" customWidth="1"/>
    <col min="65" max="65" width="12.28515625" style="1" customWidth="1"/>
    <col min="66" max="66" width="2.5703125" style="1" customWidth="1"/>
    <col min="67" max="67" width="6.7109375" style="1" customWidth="1"/>
    <col min="68" max="68" width="11.7109375" style="1" customWidth="1"/>
    <col min="69" max="69" width="14.5703125" style="1" bestFit="1" customWidth="1"/>
    <col min="70" max="70" width="10.28515625" style="1" customWidth="1"/>
    <col min="71" max="71" width="14.140625" style="1" customWidth="1"/>
    <col min="72" max="72" width="11.28515625" style="1" customWidth="1"/>
    <col min="73" max="73" width="2.5703125" style="1" customWidth="1"/>
    <col min="74" max="74" width="11.7109375" style="1" customWidth="1"/>
    <col min="75" max="75" width="12.5703125" style="1" customWidth="1"/>
    <col min="76" max="76" width="9.85546875" style="1" customWidth="1"/>
    <col min="77" max="77" width="10.28515625" style="1" customWidth="1"/>
    <col min="78" max="78" width="14.140625" style="1" customWidth="1"/>
    <col min="79" max="79" width="11.28515625" style="1" customWidth="1"/>
    <col min="80" max="80" width="12.28515625" style="1" customWidth="1"/>
    <col min="81" max="81" width="2.5703125" style="1" customWidth="1"/>
    <col min="82" max="83" width="15.140625" style="1" customWidth="1"/>
    <col min="84" max="84" width="9.7109375" style="1" customWidth="1"/>
    <col min="85" max="85" width="8.7109375" style="1" customWidth="1"/>
    <col min="86" max="86" width="2.5703125" style="1" customWidth="1"/>
    <col min="87" max="87" width="9.85546875" style="1" customWidth="1"/>
    <col min="88" max="88" width="9.42578125" style="1" customWidth="1"/>
    <col min="89" max="89" width="11.28515625" style="1" customWidth="1"/>
    <col min="90" max="90" width="10.28515625" style="1" customWidth="1"/>
    <col min="91" max="91" width="22.140625" style="1" customWidth="1"/>
    <col min="92" max="92" width="14.28515625" style="1" customWidth="1"/>
    <col min="93" max="93" width="2.7109375" style="1" customWidth="1"/>
    <col min="94" max="16384" width="40.28515625" style="1"/>
  </cols>
  <sheetData>
    <row r="1" spans="1:92">
      <c r="C1" s="29"/>
      <c r="D1" s="29"/>
      <c r="E1" s="29"/>
      <c r="F1" s="29"/>
      <c r="H1" s="426" t="s">
        <v>147</v>
      </c>
      <c r="I1" s="426"/>
      <c r="J1" s="426"/>
      <c r="L1" s="427" t="s">
        <v>6</v>
      </c>
      <c r="M1" s="427"/>
      <c r="N1" s="427"/>
      <c r="O1" s="427"/>
      <c r="P1" s="427"/>
      <c r="Q1" s="427"/>
      <c r="R1" s="427"/>
      <c r="T1" s="51"/>
      <c r="U1" s="51"/>
      <c r="W1" s="432" t="s">
        <v>128</v>
      </c>
      <c r="X1" s="432"/>
      <c r="Y1" s="432"/>
      <c r="Z1" s="432"/>
      <c r="AA1" s="432"/>
      <c r="AB1" s="432"/>
      <c r="AC1" s="432"/>
      <c r="AD1" s="432"/>
      <c r="AE1" s="432"/>
      <c r="AF1" s="432"/>
      <c r="AG1" s="432"/>
      <c r="AH1" s="432"/>
      <c r="AI1" s="432"/>
      <c r="AJ1" s="432"/>
      <c r="AK1" s="432"/>
      <c r="AL1" s="432"/>
      <c r="AM1" s="432"/>
      <c r="AO1" s="431" t="s">
        <v>143</v>
      </c>
      <c r="AP1" s="431"/>
      <c r="AQ1" s="431"/>
      <c r="AR1" s="431"/>
      <c r="AS1" s="431"/>
      <c r="AT1" s="431"/>
      <c r="AU1" s="431"/>
      <c r="AV1" s="431"/>
      <c r="AW1" s="431"/>
      <c r="AY1" s="26"/>
      <c r="BA1" s="422" t="s">
        <v>148</v>
      </c>
      <c r="BB1" s="422"/>
      <c r="BC1" s="422"/>
      <c r="BD1" s="422"/>
      <c r="BE1" s="42"/>
      <c r="BG1" s="34"/>
      <c r="BH1" s="34"/>
      <c r="BI1" s="102">
        <v>0.105</v>
      </c>
      <c r="BJ1" s="101">
        <v>15</v>
      </c>
      <c r="BK1" s="423" t="s">
        <v>140</v>
      </c>
      <c r="BL1" s="423"/>
      <c r="BM1" s="423"/>
      <c r="BO1" s="424" t="s">
        <v>119</v>
      </c>
      <c r="BP1" s="424"/>
      <c r="BQ1" s="424"/>
      <c r="BR1" s="424"/>
      <c r="BS1" s="424"/>
      <c r="BT1" s="424"/>
      <c r="BV1" s="35"/>
      <c r="BW1" s="35"/>
      <c r="BX1" s="100">
        <v>7.0000000000000007E-2</v>
      </c>
      <c r="BY1" s="30" t="s">
        <v>124</v>
      </c>
      <c r="BZ1" s="30"/>
      <c r="CA1" s="99">
        <v>11</v>
      </c>
      <c r="CB1" s="35"/>
      <c r="CD1" s="428" t="s">
        <v>135</v>
      </c>
      <c r="CE1" s="428"/>
      <c r="CF1" s="49"/>
      <c r="CG1" s="49"/>
      <c r="CI1" s="107">
        <v>7.0000000000000007E-2</v>
      </c>
      <c r="CJ1" s="425" t="s">
        <v>122</v>
      </c>
      <c r="CK1" s="425"/>
      <c r="CL1" s="425"/>
      <c r="CM1" s="425"/>
      <c r="CN1" s="425"/>
    </row>
    <row r="2" spans="1:92" s="47" customFormat="1" ht="30">
      <c r="A2" s="36"/>
      <c r="B2" s="36"/>
      <c r="C2" s="29" t="s">
        <v>96</v>
      </c>
      <c r="D2" s="29" t="s">
        <v>97</v>
      </c>
      <c r="E2" s="29" t="s">
        <v>71</v>
      </c>
      <c r="F2" s="29" t="s">
        <v>69</v>
      </c>
      <c r="G2" s="37"/>
      <c r="H2" s="38" t="s">
        <v>2</v>
      </c>
      <c r="I2" s="38" t="s">
        <v>3</v>
      </c>
      <c r="J2" s="68" t="s">
        <v>4</v>
      </c>
      <c r="K2" s="37"/>
      <c r="L2" s="39" t="s">
        <v>83</v>
      </c>
      <c r="M2" s="71" t="s">
        <v>6</v>
      </c>
      <c r="N2" s="40" t="s">
        <v>120</v>
      </c>
      <c r="O2" s="41" t="s">
        <v>121</v>
      </c>
      <c r="P2" s="41" t="s">
        <v>115</v>
      </c>
      <c r="Q2" s="39" t="s">
        <v>130</v>
      </c>
      <c r="R2" s="39" t="s">
        <v>95</v>
      </c>
      <c r="S2" s="37"/>
      <c r="T2" s="109" t="s">
        <v>388</v>
      </c>
      <c r="U2" s="52" t="s">
        <v>145</v>
      </c>
      <c r="V2" s="37"/>
      <c r="W2" s="33" t="s">
        <v>110</v>
      </c>
      <c r="X2" s="33" t="s">
        <v>5</v>
      </c>
      <c r="Y2" s="33" t="s">
        <v>84</v>
      </c>
      <c r="Z2" s="33" t="s">
        <v>85</v>
      </c>
      <c r="AA2" s="33" t="s">
        <v>417</v>
      </c>
      <c r="AB2" s="33" t="s">
        <v>418</v>
      </c>
      <c r="AC2" s="432" t="s">
        <v>86</v>
      </c>
      <c r="AD2" s="432"/>
      <c r="AE2" s="432" t="s">
        <v>87</v>
      </c>
      <c r="AF2" s="432"/>
      <c r="AG2" s="33" t="s">
        <v>419</v>
      </c>
      <c r="AH2" s="32" t="s">
        <v>144</v>
      </c>
      <c r="AI2" s="33" t="s">
        <v>420</v>
      </c>
      <c r="AJ2" s="33" t="s">
        <v>323</v>
      </c>
      <c r="AK2" s="33" t="s">
        <v>6</v>
      </c>
      <c r="AL2" s="432" t="s">
        <v>88</v>
      </c>
      <c r="AM2" s="432"/>
      <c r="AN2" s="37"/>
      <c r="AO2" s="24" t="s">
        <v>113</v>
      </c>
      <c r="AP2" s="24" t="s">
        <v>115</v>
      </c>
      <c r="AQ2" s="24" t="s">
        <v>150</v>
      </c>
      <c r="AR2" s="24" t="s">
        <v>115</v>
      </c>
      <c r="AS2" s="24" t="s">
        <v>114</v>
      </c>
      <c r="AT2" s="24" t="s">
        <v>142</v>
      </c>
      <c r="AU2" s="24" t="s">
        <v>151</v>
      </c>
      <c r="AV2" s="431" t="s">
        <v>116</v>
      </c>
      <c r="AW2" s="431"/>
      <c r="AX2" s="37"/>
      <c r="AY2" s="25" t="s">
        <v>129</v>
      </c>
      <c r="AZ2" s="37"/>
      <c r="BA2" s="42" t="s">
        <v>117</v>
      </c>
      <c r="BB2" s="42" t="s">
        <v>118</v>
      </c>
      <c r="BC2" s="42" t="s">
        <v>156</v>
      </c>
      <c r="BD2" s="42" t="s">
        <v>155</v>
      </c>
      <c r="BE2" s="42" t="s">
        <v>127</v>
      </c>
      <c r="BF2" s="37"/>
      <c r="BG2" s="43" t="s">
        <v>115</v>
      </c>
      <c r="BH2" s="43" t="s">
        <v>153</v>
      </c>
      <c r="BI2" s="43" t="s">
        <v>146</v>
      </c>
      <c r="BJ2" s="43" t="s">
        <v>126</v>
      </c>
      <c r="BK2" s="44" t="s">
        <v>421</v>
      </c>
      <c r="BL2" s="44" t="s">
        <v>152</v>
      </c>
      <c r="BM2" s="43" t="s">
        <v>127</v>
      </c>
      <c r="BN2" s="37"/>
      <c r="BO2" s="63" t="s">
        <v>149</v>
      </c>
      <c r="BP2" s="45" t="s">
        <v>113</v>
      </c>
      <c r="BQ2" s="45" t="s">
        <v>136</v>
      </c>
      <c r="BR2" s="45" t="s">
        <v>125</v>
      </c>
      <c r="BS2" s="45" t="s">
        <v>136</v>
      </c>
      <c r="BT2" s="45" t="s">
        <v>127</v>
      </c>
      <c r="BU2" s="37"/>
      <c r="BV2" s="30" t="s">
        <v>113</v>
      </c>
      <c r="BW2" s="30" t="s">
        <v>136</v>
      </c>
      <c r="BX2" s="30" t="s">
        <v>146</v>
      </c>
      <c r="BY2" s="30" t="s">
        <v>125</v>
      </c>
      <c r="BZ2" s="30" t="s">
        <v>136</v>
      </c>
      <c r="CA2" s="30" t="s">
        <v>114</v>
      </c>
      <c r="CB2" s="30" t="s">
        <v>127</v>
      </c>
      <c r="CC2" s="37"/>
      <c r="CD2" s="49" t="s">
        <v>127</v>
      </c>
      <c r="CE2" s="49" t="s">
        <v>154</v>
      </c>
      <c r="CF2" s="49" t="s">
        <v>157</v>
      </c>
      <c r="CG2" s="49" t="s">
        <v>146</v>
      </c>
      <c r="CH2" s="37"/>
      <c r="CI2" s="46" t="s">
        <v>146</v>
      </c>
      <c r="CJ2" s="46" t="s">
        <v>131</v>
      </c>
      <c r="CK2" s="46" t="s">
        <v>114</v>
      </c>
      <c r="CL2" s="46" t="s">
        <v>126</v>
      </c>
      <c r="CM2" s="46" t="s">
        <v>127</v>
      </c>
      <c r="CN2" s="31" t="s">
        <v>123</v>
      </c>
    </row>
    <row r="3" spans="1:92">
      <c r="A3" s="11">
        <v>1</v>
      </c>
      <c r="B3" s="48" t="s">
        <v>107</v>
      </c>
      <c r="C3" s="27" t="s">
        <v>160</v>
      </c>
      <c r="D3" s="27" t="s">
        <v>165</v>
      </c>
      <c r="E3" s="27" t="s">
        <v>100</v>
      </c>
      <c r="F3" s="28" t="s">
        <v>236</v>
      </c>
      <c r="H3" s="14" t="s">
        <v>111</v>
      </c>
      <c r="I3" s="14">
        <v>4</v>
      </c>
      <c r="J3" s="14" t="s">
        <v>171</v>
      </c>
      <c r="L3" s="19">
        <v>88</v>
      </c>
      <c r="M3" s="16">
        <v>4782888</v>
      </c>
      <c r="N3" s="50" t="s">
        <v>108</v>
      </c>
      <c r="O3" s="53">
        <f t="shared" ref="O3:O4" si="0">P3/M3</f>
        <v>2.0907869889489363E-2</v>
      </c>
      <c r="P3" s="16">
        <v>100000</v>
      </c>
      <c r="Q3" s="54">
        <f t="shared" ref="Q3:Q4" si="1">IF(N3="No",M3,M3-P3)</f>
        <v>4782888</v>
      </c>
      <c r="R3" s="54">
        <f t="shared" ref="R3:R4" si="2">Q3/L3</f>
        <v>54351</v>
      </c>
      <c r="T3" s="64" t="s">
        <v>108</v>
      </c>
      <c r="U3" s="64" t="s">
        <v>108</v>
      </c>
      <c r="W3" s="14">
        <v>2</v>
      </c>
      <c r="X3" s="21" t="s">
        <v>108</v>
      </c>
      <c r="Y3" s="14">
        <v>2</v>
      </c>
      <c r="Z3" s="21" t="s">
        <v>107</v>
      </c>
      <c r="AA3" s="21" t="s">
        <v>107</v>
      </c>
      <c r="AB3" s="21" t="s">
        <v>107</v>
      </c>
      <c r="AC3" s="21" t="s">
        <v>107</v>
      </c>
      <c r="AD3" s="19">
        <v>2.34</v>
      </c>
      <c r="AE3" s="21" t="s">
        <v>108</v>
      </c>
      <c r="AF3" s="19"/>
      <c r="AG3" s="21" t="s">
        <v>107</v>
      </c>
      <c r="AH3" s="21" t="s">
        <v>108</v>
      </c>
      <c r="AI3" s="14">
        <v>2</v>
      </c>
      <c r="AJ3" s="21" t="s">
        <v>108</v>
      </c>
      <c r="AK3" s="19"/>
      <c r="AL3" s="21" t="s">
        <v>107</v>
      </c>
      <c r="AM3" s="19">
        <v>1.23</v>
      </c>
      <c r="AO3" s="17">
        <v>0.1</v>
      </c>
      <c r="AP3" s="54">
        <f t="shared" ref="AP3:AP4" si="3">M3*AO3</f>
        <v>478288.80000000005</v>
      </c>
      <c r="AQ3" s="17">
        <v>0.1</v>
      </c>
      <c r="AR3" s="54">
        <f t="shared" ref="AR3:AR4" si="4">AQ3*M3</f>
        <v>478288.80000000005</v>
      </c>
      <c r="AS3" s="18">
        <v>21</v>
      </c>
      <c r="AT3" s="54">
        <f t="shared" ref="AT3:AT4" si="5">AR3/AS3</f>
        <v>22775.657142857144</v>
      </c>
      <c r="AU3" s="54">
        <f t="shared" ref="AU3:AU4" si="6">AP3+AR3</f>
        <v>956577.60000000009</v>
      </c>
      <c r="AV3" s="55">
        <f t="shared" ref="AV3:AV4" si="7">1-AO3-AQ3</f>
        <v>0.8</v>
      </c>
      <c r="AW3" s="54">
        <f t="shared" ref="AW3:AW4" si="8">M3-AP3-(AS3*AT3)</f>
        <v>3826310.4000000004</v>
      </c>
      <c r="AY3" s="22">
        <v>45597</v>
      </c>
      <c r="BA3" s="54">
        <f t="shared" ref="BA3:BA4" si="9">M3*0.03</f>
        <v>143486.63999999998</v>
      </c>
      <c r="BB3" s="54">
        <f t="shared" ref="BB3:BB4" si="10">M3*0.02</f>
        <v>95657.76</v>
      </c>
      <c r="BC3" s="16">
        <v>300000</v>
      </c>
      <c r="BD3" s="16">
        <v>150000</v>
      </c>
      <c r="BE3" s="54">
        <f t="shared" ref="BE3:BE4" si="11">BA3+BB3+BC3+BD3</f>
        <v>689144.39999999991</v>
      </c>
      <c r="BG3" s="54">
        <f t="shared" ref="BG3:BG4" si="12">AW3</f>
        <v>3826310.4000000004</v>
      </c>
      <c r="BH3" s="56">
        <f t="shared" ref="BH3:BH4" si="13">AY3+31</f>
        <v>45628</v>
      </c>
      <c r="BI3" s="57">
        <f t="shared" ref="BI3:BJ4" si="14">BI$1</f>
        <v>0.105</v>
      </c>
      <c r="BJ3" s="58">
        <f t="shared" si="14"/>
        <v>15</v>
      </c>
      <c r="BK3" s="54">
        <f t="shared" ref="BK3:BK4" si="15">PMT(BI3/12,BJ3*12,-AW3)</f>
        <v>42295.993978912891</v>
      </c>
      <c r="BL3" s="56">
        <f>TIPOLOGIAS!AY3+(TIPOLOGIAS!BJ3*365.25)</f>
        <v>51075.75</v>
      </c>
      <c r="BM3" s="54">
        <f t="shared" ref="BM3:BM4" si="16">BK3*BJ3*12</f>
        <v>7613278.9162043203</v>
      </c>
      <c r="BO3" s="16">
        <v>40</v>
      </c>
      <c r="BP3" s="54">
        <f t="shared" ref="BP3:BP4" si="17">L3*BO3</f>
        <v>3520</v>
      </c>
      <c r="BQ3" s="56">
        <f t="shared" ref="BQ3:BQ4" si="18">AY3+31</f>
        <v>45628</v>
      </c>
      <c r="BR3" s="54">
        <f t="shared" ref="BR3:BR4" si="19">FV(BX3,BJ$1,0,-BP3)</f>
        <v>9711.7910233179773</v>
      </c>
      <c r="BS3" s="56">
        <f>TIPOLOGIAS!AY3+(TIPOLOGIAS!BJ3*365.25)</f>
        <v>51075.75</v>
      </c>
      <c r="BT3" s="54">
        <f t="shared" ref="BT3:BT4" si="20">FV(BX3,BJ$1,-BP3*12,0)</f>
        <v>1061449.8897116533</v>
      </c>
      <c r="BV3" s="16">
        <v>24500</v>
      </c>
      <c r="BW3" s="56">
        <f>TIPOLOGIAS!AY3+62</f>
        <v>45659</v>
      </c>
      <c r="BX3" s="59">
        <f t="shared" ref="BX3:BX4" si="21">BX$1</f>
        <v>7.0000000000000007E-2</v>
      </c>
      <c r="BY3" s="54">
        <f t="shared" ref="BY3:BY4" si="22">FV(BX3,BJ$1,0,-BV3)</f>
        <v>67596.272747525698</v>
      </c>
      <c r="BZ3" s="56">
        <f>TIPOLOGIAS!AY3+(TIPOLOGIAS!BJ3*365.25)</f>
        <v>51075.75</v>
      </c>
      <c r="CA3" s="67">
        <f t="shared" ref="CA3:CA4" si="23">CA$1</f>
        <v>11</v>
      </c>
      <c r="CB3" s="54">
        <f t="shared" ref="CB3:CB4" si="24">FV(BX3,BJ3,-BV3*CA3,0)-(2*BV3)</f>
        <v>6723271.4317540377</v>
      </c>
      <c r="CD3" s="60">
        <f t="shared" ref="CD3:CD4" si="25">AU3+BE3+BM3+BT3</f>
        <v>10320450.805915974</v>
      </c>
      <c r="CE3" s="60">
        <f t="shared" ref="CE3:CE4" si="26">CD3-CB3</f>
        <v>3597179.3741619363</v>
      </c>
      <c r="CF3" s="60">
        <f t="shared" ref="CF3:CF4" ca="1" si="27">CE3/CK3</f>
        <v>21759.655626979467</v>
      </c>
      <c r="CG3" s="53">
        <f t="shared" ref="CG3:CG4" ca="1" si="28">(RATE(CK3,-CF3,0,CN3))*12</f>
        <v>0.15295235512638447</v>
      </c>
      <c r="CI3" s="59">
        <f t="shared" ref="CI3:CI4" si="29">CI$1</f>
        <v>7.0000000000000007E-2</v>
      </c>
      <c r="CJ3" s="61">
        <f t="shared" ref="CJ3:CJ4" ca="1" si="30">(AY3-TODAY()+(BJ$1*365.25))</f>
        <v>5031.75</v>
      </c>
      <c r="CK3" s="62">
        <f t="shared" ref="CK3:CK4" ca="1" si="31">CJ3/30.4375</f>
        <v>165.31416837782342</v>
      </c>
      <c r="CL3" s="62">
        <f t="shared" ref="CL3:CL4" ca="1" si="32">CK3/12</f>
        <v>13.776180698151952</v>
      </c>
      <c r="CM3" s="62" t="str">
        <f t="shared" ref="CM3:CM4" ca="1" si="33">INT(CL3) &amp; " años y " &amp; INT((CL3-INT(CL3))*12) &amp; " meses"</f>
        <v>13 años y 9 meses</v>
      </c>
      <c r="CN3" s="54">
        <f t="shared" ref="CN3:CN4" ca="1" si="34">FV(CI3,((AY3-TODAY())/365.25)+BJ$1,0,-Q3)</f>
        <v>12147486.978228908</v>
      </c>
    </row>
    <row r="4" spans="1:92">
      <c r="A4" s="12">
        <v>2</v>
      </c>
      <c r="B4" s="48" t="s">
        <v>107</v>
      </c>
      <c r="C4" s="27" t="s">
        <v>160</v>
      </c>
      <c r="D4" s="27" t="s">
        <v>162</v>
      </c>
      <c r="E4" s="27" t="s">
        <v>104</v>
      </c>
      <c r="F4" s="28" t="s">
        <v>183</v>
      </c>
      <c r="H4" s="14" t="s">
        <v>139</v>
      </c>
      <c r="I4" s="14">
        <v>22</v>
      </c>
      <c r="J4" s="14" t="s">
        <v>186</v>
      </c>
      <c r="L4" s="19">
        <f>92.24+4.5</f>
        <v>96.74</v>
      </c>
      <c r="M4" s="16">
        <f>5202945+81000</f>
        <v>5283945</v>
      </c>
      <c r="N4" s="50" t="s">
        <v>107</v>
      </c>
      <c r="O4" s="53">
        <f t="shared" si="0"/>
        <v>5.6775761291989225E-3</v>
      </c>
      <c r="P4" s="16">
        <v>30000</v>
      </c>
      <c r="Q4" s="54">
        <f t="shared" si="1"/>
        <v>5253945</v>
      </c>
      <c r="R4" s="54">
        <f t="shared" si="2"/>
        <v>54309.95451726277</v>
      </c>
      <c r="T4" s="64" t="s">
        <v>108</v>
      </c>
      <c r="U4" s="64" t="s">
        <v>108</v>
      </c>
      <c r="W4" s="14">
        <v>2</v>
      </c>
      <c r="X4" s="21" t="s">
        <v>108</v>
      </c>
      <c r="Y4" s="14">
        <v>2</v>
      </c>
      <c r="Z4" s="21" t="s">
        <v>107</v>
      </c>
      <c r="AA4" s="21" t="s">
        <v>107</v>
      </c>
      <c r="AB4" s="21" t="s">
        <v>107</v>
      </c>
      <c r="AC4" s="21" t="s">
        <v>108</v>
      </c>
      <c r="AD4" s="19"/>
      <c r="AE4" s="21" t="s">
        <v>108</v>
      </c>
      <c r="AF4" s="19"/>
      <c r="AG4" s="21" t="s">
        <v>107</v>
      </c>
      <c r="AH4" s="21" t="s">
        <v>108</v>
      </c>
      <c r="AI4" s="14">
        <v>2</v>
      </c>
      <c r="AJ4" s="21" t="s">
        <v>108</v>
      </c>
      <c r="AK4" s="19"/>
      <c r="AL4" s="21" t="s">
        <v>107</v>
      </c>
      <c r="AM4" s="19">
        <v>4.5</v>
      </c>
      <c r="AO4" s="17">
        <v>0.05</v>
      </c>
      <c r="AP4" s="54">
        <f t="shared" si="3"/>
        <v>264197.25</v>
      </c>
      <c r="AQ4" s="17">
        <v>0.05</v>
      </c>
      <c r="AR4" s="54">
        <f t="shared" si="4"/>
        <v>264197.25</v>
      </c>
      <c r="AS4" s="18">
        <v>18</v>
      </c>
      <c r="AT4" s="54">
        <f t="shared" si="5"/>
        <v>14677.625</v>
      </c>
      <c r="AU4" s="54">
        <f t="shared" si="6"/>
        <v>528394.5</v>
      </c>
      <c r="AV4" s="55">
        <f t="shared" si="7"/>
        <v>0.89999999999999991</v>
      </c>
      <c r="AW4" s="54">
        <f t="shared" si="8"/>
        <v>4755550.5</v>
      </c>
      <c r="AY4" s="22">
        <v>45627</v>
      </c>
      <c r="BA4" s="54">
        <f t="shared" si="9"/>
        <v>158518.35</v>
      </c>
      <c r="BB4" s="54">
        <f t="shared" si="10"/>
        <v>105678.90000000001</v>
      </c>
      <c r="BC4" s="16">
        <v>180000</v>
      </c>
      <c r="BD4" s="16">
        <v>125000</v>
      </c>
      <c r="BE4" s="54">
        <f t="shared" si="11"/>
        <v>569197.25</v>
      </c>
      <c r="BG4" s="54">
        <f t="shared" si="12"/>
        <v>4755550.5</v>
      </c>
      <c r="BH4" s="56">
        <f t="shared" si="13"/>
        <v>45658</v>
      </c>
      <c r="BI4" s="57">
        <f t="shared" si="14"/>
        <v>0.105</v>
      </c>
      <c r="BJ4" s="58">
        <f t="shared" si="14"/>
        <v>15</v>
      </c>
      <c r="BK4" s="54">
        <f t="shared" si="15"/>
        <v>52567.804042875388</v>
      </c>
      <c r="BL4" s="56">
        <f>TIPOLOGIAS!AY4+(TIPOLOGIAS!BJ4*365.25)</f>
        <v>51105.75</v>
      </c>
      <c r="BM4" s="54">
        <f t="shared" si="16"/>
        <v>9462204.7277175691</v>
      </c>
      <c r="BO4" s="16">
        <v>40</v>
      </c>
      <c r="BP4" s="54">
        <f t="shared" si="17"/>
        <v>3869.6</v>
      </c>
      <c r="BQ4" s="56">
        <f t="shared" si="18"/>
        <v>45658</v>
      </c>
      <c r="BR4" s="54">
        <f t="shared" si="19"/>
        <v>10676.348449952058</v>
      </c>
      <c r="BS4" s="56">
        <f>TIPOLOGIAS!AY4+(TIPOLOGIAS!BJ4*365.25)</f>
        <v>51105.75</v>
      </c>
      <c r="BT4" s="54">
        <f t="shared" si="20"/>
        <v>1166871.1628489243</v>
      </c>
      <c r="BV4" s="16"/>
      <c r="BW4" s="56">
        <f>TIPOLOGIAS!AY4+62</f>
        <v>45689</v>
      </c>
      <c r="BX4" s="59">
        <f t="shared" si="21"/>
        <v>7.0000000000000007E-2</v>
      </c>
      <c r="BY4" s="54">
        <f t="shared" si="22"/>
        <v>0</v>
      </c>
      <c r="BZ4" s="56">
        <f>TIPOLOGIAS!AY4+(TIPOLOGIAS!BJ4*365.25)</f>
        <v>51105.75</v>
      </c>
      <c r="CA4" s="67">
        <f t="shared" si="23"/>
        <v>11</v>
      </c>
      <c r="CB4" s="54">
        <f t="shared" si="24"/>
        <v>0</v>
      </c>
      <c r="CD4" s="60">
        <f t="shared" si="25"/>
        <v>11726667.640566494</v>
      </c>
      <c r="CE4" s="60">
        <f t="shared" si="26"/>
        <v>11726667.640566494</v>
      </c>
      <c r="CF4" s="60">
        <f t="shared" ca="1" si="27"/>
        <v>70515.226218154334</v>
      </c>
      <c r="CG4" s="53">
        <f t="shared" ca="1" si="28"/>
        <v>1.9154206668913341E-2</v>
      </c>
      <c r="CI4" s="59">
        <f t="shared" si="29"/>
        <v>7.0000000000000007E-2</v>
      </c>
      <c r="CJ4" s="61">
        <f t="shared" ca="1" si="30"/>
        <v>5061.75</v>
      </c>
      <c r="CK4" s="62">
        <f t="shared" ca="1" si="31"/>
        <v>166.29979466119096</v>
      </c>
      <c r="CL4" s="62">
        <f t="shared" ca="1" si="32"/>
        <v>13.858316221765913</v>
      </c>
      <c r="CM4" s="62" t="str">
        <f t="shared" ca="1" si="33"/>
        <v>13 años y 10 meses</v>
      </c>
      <c r="CN4" s="54">
        <f t="shared" ca="1" si="34"/>
        <v>13418229.175232764</v>
      </c>
    </row>
    <row r="5" spans="1:92">
      <c r="B5" s="103"/>
      <c r="C5" s="95"/>
      <c r="D5" s="95"/>
      <c r="E5" s="95"/>
      <c r="F5" s="96"/>
      <c r="H5" s="96"/>
      <c r="I5" s="94"/>
      <c r="J5" s="94"/>
      <c r="L5" s="94"/>
      <c r="M5" s="94"/>
      <c r="N5" s="94"/>
      <c r="O5" s="26"/>
      <c r="P5" s="94"/>
      <c r="Q5" s="26"/>
      <c r="R5" s="26"/>
      <c r="T5" s="94"/>
      <c r="U5" s="94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O5" s="94"/>
      <c r="AP5" s="26"/>
      <c r="AQ5" s="94"/>
      <c r="AR5" s="26"/>
      <c r="AS5" s="94"/>
      <c r="AT5" s="26"/>
      <c r="AU5" s="26"/>
      <c r="AV5" s="26"/>
      <c r="AW5" s="26"/>
      <c r="AY5" s="94"/>
      <c r="BA5" s="26"/>
      <c r="BB5" s="26"/>
      <c r="BC5" s="96"/>
      <c r="BD5" s="96"/>
      <c r="BE5" s="26"/>
      <c r="BG5" s="26"/>
      <c r="BH5" s="26"/>
      <c r="BI5" s="26"/>
      <c r="BJ5" s="26"/>
      <c r="BK5" s="26"/>
      <c r="BL5" s="26"/>
      <c r="BM5" s="26"/>
      <c r="BO5" s="97"/>
      <c r="BP5" s="26"/>
      <c r="BQ5" s="26"/>
      <c r="BR5" s="26"/>
      <c r="BS5" s="26"/>
      <c r="BT5" s="26"/>
      <c r="BV5" s="97"/>
      <c r="BW5" s="26"/>
      <c r="BX5" s="26"/>
      <c r="BY5" s="26"/>
      <c r="BZ5" s="26"/>
      <c r="CA5" s="26"/>
      <c r="CB5" s="26"/>
      <c r="CD5" s="26"/>
      <c r="CE5" s="26"/>
      <c r="CF5" s="26"/>
      <c r="CG5" s="26"/>
      <c r="CI5" s="26"/>
      <c r="CJ5" s="26"/>
      <c r="CK5" s="26"/>
      <c r="CL5" s="26"/>
      <c r="CM5" s="26"/>
      <c r="CN5" s="26"/>
    </row>
    <row r="6" spans="1:92">
      <c r="BO6" s="98"/>
      <c r="BV6" s="98"/>
    </row>
    <row r="8" spans="1:92">
      <c r="C8" s="82" t="s">
        <v>349</v>
      </c>
      <c r="D8" s="429" t="s">
        <v>348</v>
      </c>
      <c r="E8" s="429"/>
      <c r="F8" s="430"/>
    </row>
    <row r="9" spans="1:92">
      <c r="C9" s="78" t="s">
        <v>344</v>
      </c>
      <c r="D9" s="81"/>
      <c r="E9" s="80"/>
      <c r="F9" s="76"/>
    </row>
    <row r="10" spans="1:92">
      <c r="C10" s="78" t="s">
        <v>409</v>
      </c>
      <c r="D10" s="77"/>
      <c r="E10" s="79"/>
      <c r="F10" s="76"/>
    </row>
    <row r="11" spans="1:92">
      <c r="C11" s="78" t="s">
        <v>341</v>
      </c>
      <c r="D11" s="77"/>
      <c r="E11" s="77"/>
      <c r="F11" s="77"/>
    </row>
    <row r="12" spans="1:92">
      <c r="C12" s="78" t="s">
        <v>71</v>
      </c>
      <c r="D12" s="77"/>
      <c r="E12" s="77"/>
      <c r="F12" s="76"/>
    </row>
    <row r="16" spans="1:92">
      <c r="C16" s="108" t="s">
        <v>410</v>
      </c>
      <c r="E16" s="1"/>
    </row>
    <row r="17" spans="3:5">
      <c r="C17" s="104" t="s">
        <v>411</v>
      </c>
      <c r="E17" s="1" t="s">
        <v>416</v>
      </c>
    </row>
    <row r="18" spans="3:5">
      <c r="C18" s="104" t="s">
        <v>412</v>
      </c>
      <c r="E18" s="1" t="s">
        <v>414</v>
      </c>
    </row>
    <row r="19" spans="3:5">
      <c r="C19" s="104" t="s">
        <v>413</v>
      </c>
      <c r="E19" s="1" t="s">
        <v>415</v>
      </c>
    </row>
    <row r="20" spans="3:5">
      <c r="E20" s="1"/>
    </row>
  </sheetData>
  <autoFilter ref="A2:CN4" xr:uid="{234E4B5A-33C2-459E-9EA0-EB6B08B07A1B}">
    <filterColumn colId="28" showButton="0"/>
    <filterColumn colId="30" showButton="0"/>
    <filterColumn colId="37" showButton="0"/>
    <filterColumn colId="47" showButton="0"/>
    <sortState xmlns:xlrd2="http://schemas.microsoft.com/office/spreadsheetml/2017/richdata2" ref="A3:CN4">
      <sortCondition descending="1" ref="AJ2:AJ4"/>
    </sortState>
  </autoFilter>
  <customSheetViews>
    <customSheetView guid="{13D93A47-B4CB-4772-9EB1-4DA9A3D608D6}" showAutoFilter="1">
      <pane xSplit="7" ySplit="2" topLeftCell="H3" activePane="bottomRight" state="frozen"/>
      <selection pane="bottomRight" activeCell="K18" sqref="K18"/>
      <pageMargins left="0.7" right="0.7" top="0.75" bottom="0.75" header="0.3" footer="0.3"/>
      <pageSetup orientation="portrait" horizontalDpi="360" verticalDpi="360" r:id="rId1"/>
      <autoFilter ref="A2:CL2" xr:uid="{5BC9F5A6-FB98-4E2B-B133-7793EBCA4FF4}">
        <filterColumn colId="28" showButton="0"/>
        <filterColumn colId="30" showButton="0"/>
        <filterColumn colId="35" showButton="0"/>
        <filterColumn colId="45" showButton="0"/>
      </autoFilter>
    </customSheetView>
    <customSheetView guid="{8FBD04A5-416D-4DBA-B024-6C6AB31A061B}" showAutoFilter="1" hiddenColumns="1">
      <pane xSplit="7" ySplit="2" topLeftCell="H3" activePane="bottomRight" state="frozen"/>
      <selection pane="bottomRight" activeCell="BU1" activeCellId="15" sqref="O1:O1048576 Q1:S1048576 V1:V1048576 AL1:AL1048576 AN1:AN1048576 AP1:AP1048576 AR1:AR1048576 AS1:AS1048576 AT1:AV1048576 AX1:AZ1048576 BC1:BI1048576 BJ1:BJ1048576 BK1:BK1048576 BL1:BL1048576 BN1:BS1048576 BU1:CL1048576"/>
      <pageMargins left="0.7" right="0.7" top="0.75" bottom="0.75" header="0.3" footer="0.3"/>
      <pageSetup orientation="portrait" horizontalDpi="360" verticalDpi="360" r:id="rId2"/>
      <autoFilter ref="A2:CL2" xr:uid="{DFA7BC10-03A0-4AE3-A179-06173D1C8DB5}">
        <filterColumn colId="28" showButton="0"/>
        <filterColumn colId="30" showButton="0"/>
        <filterColumn colId="35" showButton="0"/>
        <filterColumn colId="45" showButton="0"/>
      </autoFilter>
    </customSheetView>
  </customSheetViews>
  <mergeCells count="14">
    <mergeCell ref="D8:F8"/>
    <mergeCell ref="AV2:AW2"/>
    <mergeCell ref="W1:AM1"/>
    <mergeCell ref="AO1:AW1"/>
    <mergeCell ref="AC2:AD2"/>
    <mergeCell ref="AE2:AF2"/>
    <mergeCell ref="AL2:AM2"/>
    <mergeCell ref="BA1:BD1"/>
    <mergeCell ref="BK1:BM1"/>
    <mergeCell ref="BO1:BT1"/>
    <mergeCell ref="CJ1:CN1"/>
    <mergeCell ref="H1:J1"/>
    <mergeCell ref="L1:R1"/>
    <mergeCell ref="CD1:CE1"/>
  </mergeCells>
  <phoneticPr fontId="4" type="noConversion"/>
  <conditionalFormatting sqref="B3:B4">
    <cfRule type="containsText" dxfId="68" priority="3" operator="containsText" text="No">
      <formula>NOT(ISERROR(SEARCH("No",B3)))</formula>
    </cfRule>
  </conditionalFormatting>
  <conditionalFormatting sqref="N3:N4">
    <cfRule type="containsText" dxfId="67" priority="21" operator="containsText" text="Si">
      <formula>NOT(ISERROR(SEARCH("Si",N3)))</formula>
    </cfRule>
  </conditionalFormatting>
  <conditionalFormatting sqref="O3:O4 AD3:AD4 AF3:AF4 AK3:AK4 AM3:AM4">
    <cfRule type="expression" dxfId="66" priority="11">
      <formula>N3="No"</formula>
    </cfRule>
  </conditionalFormatting>
  <conditionalFormatting sqref="P3:P4">
    <cfRule type="expression" dxfId="65" priority="13">
      <formula>N3="No"</formula>
    </cfRule>
  </conditionalFormatting>
  <conditionalFormatting sqref="T3:T4">
    <cfRule type="containsText" dxfId="64" priority="6" operator="containsText" text="sI">
      <formula>NOT(ISERROR(SEARCH("sI",T3)))</formula>
    </cfRule>
  </conditionalFormatting>
  <conditionalFormatting sqref="T3:U4">
    <cfRule type="containsText" dxfId="63" priority="18" operator="containsText" text="Si">
      <formula>NOT(ISERROR(SEARCH("Si",T3)))</formula>
    </cfRule>
  </conditionalFormatting>
  <conditionalFormatting sqref="U3:U4">
    <cfRule type="containsText" dxfId="62" priority="5" operator="containsText" text="Si">
      <formula>NOT(ISERROR(SEARCH("Si",U3)))</formula>
    </cfRule>
  </conditionalFormatting>
  <conditionalFormatting sqref="CE3:CE4">
    <cfRule type="cellIs" dxfId="61" priority="1" operator="lessThanOrEqual">
      <formula>0</formula>
    </cfRule>
  </conditionalFormatting>
  <dataValidations count="1">
    <dataValidation type="list" allowBlank="1" showInputMessage="1" showErrorMessage="1" sqref="F3:F4 D3:D4" xr:uid="{FDFB10C6-6FBE-4061-A70E-66BB0634E81C}">
      <formula1>INDIRECT(C3)</formula1>
    </dataValidation>
  </dataValidations>
  <pageMargins left="0.7" right="0.7" top="0.75" bottom="0.75" header="0.3" footer="0.3"/>
  <pageSetup orientation="portrait" horizontalDpi="360" verticalDpi="360"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E1075B-C482-4DF4-9E64-4E3E619334F2}">
          <x14:formula1>
            <xm:f>'CAT Propiedades'!$AY$3:$BH$3</xm:f>
          </x14:formula1>
          <xm:sqref>C3:C4</xm:sqref>
        </x14:dataValidation>
        <x14:dataValidation type="list" allowBlank="1" showInputMessage="1" showErrorMessage="1" xr:uid="{9EB527FC-1E4F-4DF0-8855-2F2DF2FB197A}">
          <x14:formula1>
            <xm:f>'CAT Propiedades'!$BJ$3:$DG$3</xm:f>
          </x14:formula1>
          <xm:sqref>E3:E4</xm:sqref>
        </x14:dataValidation>
        <x14:dataValidation type="list" allowBlank="1" showInputMessage="1" showErrorMessage="1" xr:uid="{A37951BF-91B2-4E04-97BD-A28C00180300}">
          <x14:formula1>
            <xm:f>'CAT Propiedades'!#REF!</xm:f>
          </x14:formula1>
          <xm:sqref>AJ3:AJ4 Z3:AC4 AE3:AE4 X3:X4 AL3:AL4 BJ1 T3:U4 B3:B4 AG3:AH4 N3:N4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CE85-1203-4365-9F66-5B769B2D233A}">
  <sheetPr>
    <tabColor rgb="FFFFFF00"/>
  </sheetPr>
  <dimension ref="A1:AD103"/>
  <sheetViews>
    <sheetView zoomScaleNormal="100" workbookViewId="0">
      <pane xSplit="3" ySplit="3" topLeftCell="D4" activePane="bottomRight" state="frozen"/>
      <selection activeCell="AK3" sqref="AK3"/>
      <selection pane="topRight" activeCell="AK3" sqref="AK3"/>
      <selection pane="bottomLeft" activeCell="AK3" sqref="AK3"/>
      <selection pane="bottomRight" activeCell="AK3" sqref="AK3"/>
    </sheetView>
  </sheetViews>
  <sheetFormatPr baseColWidth="10" defaultColWidth="11.5703125" defaultRowHeight="15"/>
  <cols>
    <col min="1" max="1" width="4" style="10" bestFit="1" customWidth="1"/>
    <col min="2" max="2" width="15.28515625" style="1" bestFit="1" customWidth="1"/>
    <col min="3" max="3" width="11.85546875" style="1" bestFit="1" customWidth="1"/>
    <col min="4" max="4" width="18.5703125" style="1" bestFit="1" customWidth="1"/>
    <col min="5" max="7" width="14.7109375" style="1" customWidth="1"/>
    <col min="8" max="8" width="20.28515625" style="1" bestFit="1" customWidth="1"/>
    <col min="9" max="9" width="7.42578125" style="1" bestFit="1" customWidth="1"/>
    <col min="10" max="10" width="7.7109375" style="1" bestFit="1" customWidth="1"/>
    <col min="11" max="11" width="12.140625" style="1" bestFit="1" customWidth="1"/>
    <col min="12" max="12" width="13.5703125" style="1" customWidth="1"/>
    <col min="13" max="13" width="13.28515625" style="1" customWidth="1"/>
    <col min="14" max="15" width="6.28515625" style="1" bestFit="1" customWidth="1"/>
    <col min="16" max="17" width="6.28515625" style="1" customWidth="1"/>
    <col min="18" max="18" width="11.5703125" style="1"/>
    <col min="19" max="19" width="18.42578125" style="1" bestFit="1" customWidth="1"/>
    <col min="20" max="20" width="7.28515625" style="1" customWidth="1"/>
    <col min="21" max="21" width="11.5703125" style="1" customWidth="1"/>
    <col min="22" max="22" width="7.28515625" style="1" customWidth="1"/>
    <col min="23" max="23" width="11.5703125" style="1" customWidth="1"/>
    <col min="24" max="24" width="7.28515625" style="1" customWidth="1"/>
    <col min="25" max="25" width="11.5703125" style="1" customWidth="1"/>
    <col min="26" max="26" width="7.28515625" style="1" customWidth="1"/>
    <col min="27" max="29" width="11.5703125" style="1" customWidth="1"/>
    <col min="30" max="30" width="12.7109375" style="1" customWidth="1"/>
    <col min="31" max="16384" width="11.5703125" style="1"/>
  </cols>
  <sheetData>
    <row r="1" spans="1:30" s="2" customFormat="1">
      <c r="A1" s="9"/>
      <c r="B1" s="412" t="s">
        <v>71</v>
      </c>
      <c r="C1" s="437" t="s">
        <v>69</v>
      </c>
      <c r="D1" s="438" t="s">
        <v>96</v>
      </c>
      <c r="E1" s="438" t="s">
        <v>133</v>
      </c>
      <c r="F1" s="438" t="s">
        <v>134</v>
      </c>
      <c r="G1" s="438" t="s">
        <v>137</v>
      </c>
      <c r="H1" s="434" t="s">
        <v>2</v>
      </c>
      <c r="I1" s="434" t="s">
        <v>72</v>
      </c>
      <c r="J1" s="434" t="s">
        <v>74</v>
      </c>
      <c r="K1" s="415" t="s">
        <v>0</v>
      </c>
      <c r="L1" s="415" t="s">
        <v>53</v>
      </c>
      <c r="M1" s="415" t="s">
        <v>1</v>
      </c>
      <c r="N1" s="420" t="s">
        <v>77</v>
      </c>
      <c r="O1" s="420"/>
      <c r="P1" s="420" t="s">
        <v>78</v>
      </c>
      <c r="Q1" s="420"/>
      <c r="R1" s="420" t="s">
        <v>79</v>
      </c>
      <c r="S1" s="433" t="s">
        <v>12</v>
      </c>
      <c r="T1" s="419" t="s">
        <v>94</v>
      </c>
      <c r="U1" s="419"/>
      <c r="V1" s="419"/>
      <c r="W1" s="419"/>
      <c r="X1" s="419"/>
      <c r="Y1" s="419"/>
      <c r="Z1" s="419"/>
      <c r="AA1" s="419"/>
      <c r="AB1" s="435" t="s">
        <v>92</v>
      </c>
      <c r="AC1" s="436" t="s">
        <v>132</v>
      </c>
      <c r="AD1" s="416" t="s">
        <v>538</v>
      </c>
    </row>
    <row r="2" spans="1:30" s="2" customFormat="1">
      <c r="A2" s="9"/>
      <c r="B2" s="412"/>
      <c r="C2" s="437"/>
      <c r="D2" s="438"/>
      <c r="E2" s="438"/>
      <c r="F2" s="438"/>
      <c r="G2" s="438"/>
      <c r="H2" s="434"/>
      <c r="I2" s="434"/>
      <c r="J2" s="434"/>
      <c r="K2" s="415"/>
      <c r="L2" s="415"/>
      <c r="M2" s="415"/>
      <c r="N2" s="13" t="s">
        <v>75</v>
      </c>
      <c r="O2" s="13" t="s">
        <v>76</v>
      </c>
      <c r="P2" s="13" t="s">
        <v>75</v>
      </c>
      <c r="Q2" s="13" t="s">
        <v>76</v>
      </c>
      <c r="R2" s="420"/>
      <c r="S2" s="433"/>
      <c r="T2" s="419" t="s">
        <v>73</v>
      </c>
      <c r="U2" s="419"/>
      <c r="V2" s="419" t="s">
        <v>80</v>
      </c>
      <c r="W2" s="419"/>
      <c r="X2" s="419" t="s">
        <v>81</v>
      </c>
      <c r="Y2" s="419"/>
      <c r="Z2" s="419" t="s">
        <v>82</v>
      </c>
      <c r="AA2" s="419"/>
      <c r="AB2" s="435"/>
      <c r="AC2" s="436"/>
      <c r="AD2" s="416"/>
    </row>
    <row r="3" spans="1:30" s="2" customFormat="1" ht="7.9" customHeight="1">
      <c r="A3" s="9"/>
    </row>
    <row r="4" spans="1:30">
      <c r="A4" s="11">
        <v>1</v>
      </c>
      <c r="B4" s="15" t="s">
        <v>537</v>
      </c>
      <c r="C4" s="15" t="s">
        <v>175</v>
      </c>
      <c r="D4" s="15" t="s">
        <v>536</v>
      </c>
      <c r="E4" s="15" t="s">
        <v>535</v>
      </c>
      <c r="F4" s="15" t="s">
        <v>534</v>
      </c>
      <c r="G4" s="15" t="s">
        <v>166</v>
      </c>
      <c r="H4" s="15" t="s">
        <v>468</v>
      </c>
      <c r="I4" s="14">
        <v>1</v>
      </c>
      <c r="J4" s="14">
        <v>15</v>
      </c>
      <c r="K4" s="4"/>
      <c r="L4" s="4"/>
      <c r="M4" s="4"/>
      <c r="N4" s="14">
        <v>88</v>
      </c>
      <c r="O4" s="14">
        <v>88</v>
      </c>
      <c r="P4" s="14">
        <v>2</v>
      </c>
      <c r="Q4" s="14">
        <v>2</v>
      </c>
      <c r="R4" s="14" t="s">
        <v>107</v>
      </c>
      <c r="S4" s="4"/>
      <c r="T4" s="14">
        <v>20</v>
      </c>
      <c r="U4" s="14">
        <v>1760</v>
      </c>
      <c r="V4" s="14">
        <v>3</v>
      </c>
      <c r="W4" s="14">
        <v>160</v>
      </c>
      <c r="X4" s="14"/>
      <c r="Y4" s="14"/>
      <c r="Z4" s="14"/>
      <c r="AA4" s="14"/>
      <c r="AB4" s="4"/>
      <c r="AC4" s="4"/>
      <c r="AD4" s="20"/>
    </row>
    <row r="5" spans="1:30">
      <c r="A5" s="12">
        <v>2</v>
      </c>
      <c r="B5" s="15"/>
      <c r="C5" s="15"/>
      <c r="D5" s="15"/>
      <c r="E5" s="15"/>
      <c r="F5" s="15"/>
      <c r="G5" s="15"/>
      <c r="H5" s="15"/>
      <c r="I5" s="14"/>
      <c r="J5" s="14"/>
      <c r="K5" s="4"/>
      <c r="L5" s="4"/>
      <c r="M5" s="4"/>
      <c r="N5" s="14"/>
      <c r="O5" s="14"/>
      <c r="P5" s="14"/>
      <c r="Q5" s="14"/>
      <c r="R5" s="14"/>
      <c r="S5" s="4"/>
      <c r="T5" s="14"/>
      <c r="U5" s="14"/>
      <c r="V5" s="14"/>
      <c r="W5" s="14"/>
      <c r="X5" s="14"/>
      <c r="Y5" s="14"/>
      <c r="Z5" s="14"/>
      <c r="AA5" s="14"/>
      <c r="AB5" s="4"/>
      <c r="AC5" s="4"/>
      <c r="AD5" s="20"/>
    </row>
    <row r="6" spans="1:30">
      <c r="A6" s="12">
        <v>3</v>
      </c>
      <c r="B6" s="15"/>
      <c r="C6" s="15"/>
      <c r="D6" s="15"/>
      <c r="E6" s="15"/>
      <c r="F6" s="15"/>
      <c r="G6" s="15"/>
      <c r="H6" s="15"/>
      <c r="I6" s="14"/>
      <c r="J6" s="14"/>
      <c r="K6" s="4"/>
      <c r="L6" s="4"/>
      <c r="M6" s="4"/>
      <c r="N6" s="14"/>
      <c r="O6" s="14"/>
      <c r="P6" s="14"/>
      <c r="Q6" s="14"/>
      <c r="R6" s="14"/>
      <c r="S6" s="4"/>
      <c r="T6" s="14"/>
      <c r="U6" s="14"/>
      <c r="V6" s="14"/>
      <c r="W6" s="14"/>
      <c r="X6" s="14"/>
      <c r="Y6" s="14"/>
      <c r="Z6" s="14"/>
      <c r="AA6" s="14"/>
      <c r="AB6" s="4"/>
      <c r="AC6" s="4"/>
      <c r="AD6" s="20"/>
    </row>
    <row r="7" spans="1:30">
      <c r="A7" s="12">
        <v>4</v>
      </c>
      <c r="B7" s="15"/>
      <c r="C7" s="15"/>
      <c r="D7" s="15"/>
      <c r="E7" s="15"/>
      <c r="F7" s="15"/>
      <c r="G7" s="15"/>
      <c r="H7" s="15"/>
      <c r="I7" s="14"/>
      <c r="J7" s="14"/>
      <c r="K7" s="4"/>
      <c r="L7" s="4"/>
      <c r="M7" s="4"/>
      <c r="N7" s="14"/>
      <c r="O7" s="14"/>
      <c r="P7" s="14"/>
      <c r="Q7" s="14"/>
      <c r="R7" s="14"/>
      <c r="S7" s="4"/>
      <c r="T7" s="14"/>
      <c r="U7" s="14"/>
      <c r="V7" s="14"/>
      <c r="W7" s="14"/>
      <c r="X7" s="14"/>
      <c r="Y7" s="14"/>
      <c r="Z7" s="14"/>
      <c r="AA7" s="14"/>
      <c r="AB7" s="4"/>
      <c r="AC7" s="4"/>
      <c r="AD7" s="20"/>
    </row>
    <row r="8" spans="1:30">
      <c r="A8" s="3">
        <v>5</v>
      </c>
      <c r="B8" s="15"/>
      <c r="C8" s="15"/>
      <c r="D8" s="15"/>
      <c r="E8" s="15"/>
      <c r="F8" s="15"/>
      <c r="G8" s="15"/>
      <c r="H8" s="15"/>
      <c r="I8" s="14"/>
      <c r="J8" s="14"/>
      <c r="K8" s="4"/>
      <c r="L8" s="4"/>
      <c r="M8" s="4"/>
      <c r="N8" s="14"/>
      <c r="O8" s="14"/>
      <c r="P8" s="14"/>
      <c r="Q8" s="14"/>
      <c r="R8" s="14"/>
      <c r="S8" s="4"/>
      <c r="T8" s="14"/>
      <c r="U8" s="14"/>
      <c r="V8" s="14"/>
      <c r="W8" s="14"/>
      <c r="X8" s="14"/>
      <c r="Y8" s="14"/>
      <c r="Z8" s="14"/>
      <c r="AA8" s="14"/>
      <c r="AB8" s="4"/>
      <c r="AC8" s="4"/>
      <c r="AD8" s="20"/>
    </row>
    <row r="9" spans="1:30">
      <c r="A9" s="3">
        <v>6</v>
      </c>
      <c r="B9" s="15"/>
      <c r="C9" s="15"/>
      <c r="D9" s="15"/>
      <c r="E9" s="15"/>
      <c r="F9" s="15"/>
      <c r="G9" s="15"/>
      <c r="H9" s="15"/>
      <c r="I9" s="14"/>
      <c r="J9" s="14"/>
      <c r="K9" s="4"/>
      <c r="L9" s="4"/>
      <c r="M9" s="4"/>
      <c r="N9" s="14"/>
      <c r="O9" s="14"/>
      <c r="P9" s="14"/>
      <c r="Q9" s="14"/>
      <c r="R9" s="14"/>
      <c r="S9" s="4"/>
      <c r="T9" s="14"/>
      <c r="U9" s="14"/>
      <c r="V9" s="14"/>
      <c r="W9" s="14"/>
      <c r="X9" s="14"/>
      <c r="Y9" s="14"/>
      <c r="Z9" s="14"/>
      <c r="AA9" s="14"/>
      <c r="AB9" s="4"/>
      <c r="AC9" s="4"/>
      <c r="AD9" s="20"/>
    </row>
    <row r="10" spans="1:30">
      <c r="A10" s="3">
        <v>7</v>
      </c>
      <c r="B10" s="15"/>
      <c r="C10" s="15"/>
      <c r="D10" s="15"/>
      <c r="E10" s="15"/>
      <c r="F10" s="15"/>
      <c r="G10" s="15"/>
      <c r="H10" s="15"/>
      <c r="I10" s="14"/>
      <c r="J10" s="14"/>
      <c r="K10" s="4"/>
      <c r="L10" s="4"/>
      <c r="M10" s="4"/>
      <c r="N10" s="14"/>
      <c r="O10" s="14"/>
      <c r="P10" s="14"/>
      <c r="Q10" s="14"/>
      <c r="R10" s="14"/>
      <c r="S10" s="4"/>
      <c r="T10" s="14"/>
      <c r="U10" s="14"/>
      <c r="V10" s="14"/>
      <c r="W10" s="14"/>
      <c r="X10" s="14"/>
      <c r="Y10" s="14"/>
      <c r="Z10" s="14"/>
      <c r="AA10" s="14"/>
      <c r="AB10" s="4"/>
      <c r="AC10" s="4"/>
      <c r="AD10" s="20"/>
    </row>
    <row r="11" spans="1:30">
      <c r="A11" s="3">
        <v>8</v>
      </c>
      <c r="B11" s="15"/>
      <c r="C11" s="15"/>
      <c r="D11" s="15"/>
      <c r="E11" s="15"/>
      <c r="F11" s="15"/>
      <c r="G11" s="15"/>
      <c r="H11" s="15"/>
      <c r="I11" s="14"/>
      <c r="J11" s="14"/>
      <c r="K11" s="4"/>
      <c r="L11" s="4"/>
      <c r="M11" s="4"/>
      <c r="N11" s="14"/>
      <c r="O11" s="14"/>
      <c r="P11" s="14"/>
      <c r="Q11" s="14"/>
      <c r="R11" s="14"/>
      <c r="S11" s="4"/>
      <c r="T11" s="14"/>
      <c r="U11" s="14"/>
      <c r="V11" s="14"/>
      <c r="W11" s="14"/>
      <c r="X11" s="14"/>
      <c r="Y11" s="14"/>
      <c r="Z11" s="14"/>
      <c r="AA11" s="14"/>
      <c r="AB11" s="4"/>
      <c r="AC11" s="4"/>
      <c r="AD11" s="20"/>
    </row>
    <row r="12" spans="1:30">
      <c r="A12" s="142">
        <v>9</v>
      </c>
      <c r="B12" s="15"/>
      <c r="C12" s="15"/>
      <c r="D12" s="15"/>
      <c r="E12" s="15"/>
      <c r="F12" s="15"/>
      <c r="G12" s="15"/>
      <c r="H12" s="15"/>
      <c r="I12" s="14"/>
      <c r="J12" s="14"/>
      <c r="K12" s="4"/>
      <c r="L12" s="4"/>
      <c r="M12" s="4"/>
      <c r="N12" s="14"/>
      <c r="O12" s="14"/>
      <c r="P12" s="14"/>
      <c r="Q12" s="14"/>
      <c r="R12" s="14"/>
      <c r="S12" s="4"/>
      <c r="T12" s="14"/>
      <c r="U12" s="14"/>
      <c r="V12" s="14"/>
      <c r="W12" s="14"/>
      <c r="X12" s="14"/>
      <c r="Y12" s="14"/>
      <c r="Z12" s="14"/>
      <c r="AA12" s="14"/>
      <c r="AB12" s="4"/>
      <c r="AC12" s="4"/>
      <c r="AD12" s="20"/>
    </row>
    <row r="13" spans="1:30">
      <c r="A13" s="3">
        <v>10</v>
      </c>
      <c r="B13" s="15"/>
      <c r="C13" s="15"/>
      <c r="D13" s="15"/>
      <c r="E13" s="15"/>
      <c r="F13" s="15"/>
      <c r="G13" s="15"/>
      <c r="H13" s="15"/>
      <c r="I13" s="14"/>
      <c r="J13" s="14"/>
      <c r="K13" s="4"/>
      <c r="L13" s="4"/>
      <c r="M13" s="4"/>
      <c r="N13" s="14"/>
      <c r="O13" s="14"/>
      <c r="P13" s="14"/>
      <c r="Q13" s="14"/>
      <c r="R13" s="14"/>
      <c r="S13" s="4"/>
      <c r="T13" s="14"/>
      <c r="U13" s="14"/>
      <c r="V13" s="14"/>
      <c r="W13" s="14"/>
      <c r="X13" s="14"/>
      <c r="Y13" s="14"/>
      <c r="Z13" s="14"/>
      <c r="AA13" s="14"/>
      <c r="AB13" s="4"/>
      <c r="AC13" s="4"/>
      <c r="AD13" s="20"/>
    </row>
    <row r="14" spans="1:30">
      <c r="A14" s="3">
        <v>11</v>
      </c>
      <c r="B14" s="15"/>
      <c r="C14" s="15"/>
      <c r="D14" s="15"/>
      <c r="E14" s="15"/>
      <c r="F14" s="15"/>
      <c r="G14" s="15"/>
      <c r="H14" s="15"/>
      <c r="I14" s="14"/>
      <c r="J14" s="14"/>
      <c r="K14" s="4"/>
      <c r="L14" s="4"/>
      <c r="M14" s="4"/>
      <c r="N14" s="14"/>
      <c r="O14" s="14"/>
      <c r="P14" s="14"/>
      <c r="Q14" s="14"/>
      <c r="R14" s="14"/>
      <c r="S14" s="4"/>
      <c r="T14" s="14"/>
      <c r="U14" s="14"/>
      <c r="V14" s="14"/>
      <c r="W14" s="14"/>
      <c r="X14" s="14"/>
      <c r="Y14" s="14"/>
      <c r="Z14" s="14"/>
      <c r="AA14" s="14"/>
      <c r="AB14" s="4"/>
      <c r="AC14" s="4"/>
      <c r="AD14" s="20"/>
    </row>
    <row r="15" spans="1:30">
      <c r="A15" s="3">
        <v>12</v>
      </c>
      <c r="B15" s="15"/>
      <c r="C15" s="15"/>
      <c r="D15" s="15"/>
      <c r="E15" s="15"/>
      <c r="F15" s="15"/>
      <c r="G15" s="15"/>
      <c r="H15" s="15"/>
      <c r="I15" s="14"/>
      <c r="J15" s="14"/>
      <c r="K15" s="4"/>
      <c r="L15" s="4"/>
      <c r="M15" s="4"/>
      <c r="N15" s="14"/>
      <c r="O15" s="14"/>
      <c r="P15" s="14"/>
      <c r="Q15" s="14"/>
      <c r="R15" s="14"/>
      <c r="S15" s="4"/>
      <c r="T15" s="14"/>
      <c r="U15" s="14"/>
      <c r="V15" s="14"/>
      <c r="W15" s="14"/>
      <c r="X15" s="14"/>
      <c r="Y15" s="14"/>
      <c r="Z15" s="14"/>
      <c r="AA15" s="14"/>
      <c r="AB15" s="4"/>
      <c r="AC15" s="4"/>
      <c r="AD15" s="20"/>
    </row>
    <row r="16" spans="1:30">
      <c r="A16" s="3">
        <v>13</v>
      </c>
      <c r="B16" s="15"/>
      <c r="C16" s="15"/>
      <c r="D16" s="15"/>
      <c r="E16" s="15"/>
      <c r="F16" s="15"/>
      <c r="G16" s="15"/>
      <c r="H16" s="15"/>
      <c r="I16" s="14"/>
      <c r="J16" s="14"/>
      <c r="K16" s="4"/>
      <c r="L16" s="4"/>
      <c r="M16" s="4"/>
      <c r="N16" s="14"/>
      <c r="O16" s="14"/>
      <c r="P16" s="14"/>
      <c r="Q16" s="14"/>
      <c r="R16" s="14"/>
      <c r="S16" s="4"/>
      <c r="T16" s="14"/>
      <c r="U16" s="14"/>
      <c r="V16" s="14"/>
      <c r="W16" s="14"/>
      <c r="X16" s="14"/>
      <c r="Y16" s="14"/>
      <c r="Z16" s="14"/>
      <c r="AA16" s="14"/>
      <c r="AB16" s="4"/>
      <c r="AC16" s="4"/>
      <c r="AD16" s="20"/>
    </row>
    <row r="17" spans="1:30">
      <c r="A17" s="3">
        <v>14</v>
      </c>
      <c r="B17" s="15"/>
      <c r="C17" s="15"/>
      <c r="D17" s="15"/>
      <c r="E17" s="15"/>
      <c r="F17" s="15"/>
      <c r="G17" s="15"/>
      <c r="H17" s="15"/>
      <c r="I17" s="14"/>
      <c r="J17" s="14"/>
      <c r="K17" s="4"/>
      <c r="L17" s="4"/>
      <c r="M17" s="4"/>
      <c r="N17" s="14"/>
      <c r="O17" s="14"/>
      <c r="P17" s="14"/>
      <c r="Q17" s="14"/>
      <c r="R17" s="14"/>
      <c r="S17" s="4"/>
      <c r="T17" s="14"/>
      <c r="U17" s="14"/>
      <c r="V17" s="14"/>
      <c r="W17" s="14"/>
      <c r="X17" s="14"/>
      <c r="Y17" s="14"/>
      <c r="Z17" s="14"/>
      <c r="AA17" s="14"/>
      <c r="AB17" s="4"/>
      <c r="AC17" s="4"/>
      <c r="AD17" s="20"/>
    </row>
    <row r="18" spans="1:30">
      <c r="A18" s="3">
        <v>15</v>
      </c>
      <c r="B18" s="15"/>
      <c r="C18" s="15"/>
      <c r="D18" s="15"/>
      <c r="E18" s="15"/>
      <c r="F18" s="15"/>
      <c r="G18" s="15"/>
      <c r="H18" s="15"/>
      <c r="I18" s="14"/>
      <c r="J18" s="14"/>
      <c r="K18" s="4"/>
      <c r="L18" s="4"/>
      <c r="M18" s="4"/>
      <c r="N18" s="14"/>
      <c r="O18" s="14"/>
      <c r="P18" s="14"/>
      <c r="Q18" s="14"/>
      <c r="R18" s="14"/>
      <c r="S18" s="4"/>
      <c r="T18" s="14"/>
      <c r="U18" s="14"/>
      <c r="V18" s="14"/>
      <c r="W18" s="14"/>
      <c r="X18" s="14"/>
      <c r="Y18" s="14"/>
      <c r="Z18" s="14"/>
      <c r="AA18" s="14"/>
      <c r="AB18" s="4"/>
      <c r="AC18" s="4"/>
      <c r="AD18" s="20"/>
    </row>
    <row r="19" spans="1:30">
      <c r="A19" s="3">
        <v>16</v>
      </c>
      <c r="B19" s="15"/>
      <c r="C19" s="15"/>
      <c r="D19" s="15"/>
      <c r="E19" s="15"/>
      <c r="F19" s="15"/>
      <c r="G19" s="15"/>
      <c r="H19" s="15"/>
      <c r="I19" s="14"/>
      <c r="J19" s="14"/>
      <c r="K19" s="4"/>
      <c r="L19" s="4"/>
      <c r="M19" s="4"/>
      <c r="N19" s="14"/>
      <c r="O19" s="14"/>
      <c r="P19" s="14"/>
      <c r="Q19" s="14"/>
      <c r="R19" s="14"/>
      <c r="S19" s="4"/>
      <c r="T19" s="14"/>
      <c r="U19" s="14"/>
      <c r="V19" s="14"/>
      <c r="W19" s="14"/>
      <c r="X19" s="14"/>
      <c r="Y19" s="14"/>
      <c r="Z19" s="14"/>
      <c r="AA19" s="14"/>
      <c r="AB19" s="4"/>
      <c r="AC19" s="4"/>
      <c r="AD19" s="20"/>
    </row>
    <row r="20" spans="1:30">
      <c r="A20" s="142">
        <v>17</v>
      </c>
      <c r="B20" s="15"/>
      <c r="C20" s="15"/>
      <c r="D20" s="15"/>
      <c r="E20" s="15"/>
      <c r="F20" s="15"/>
      <c r="G20" s="15"/>
      <c r="H20" s="15"/>
      <c r="I20" s="14"/>
      <c r="J20" s="14"/>
      <c r="K20" s="4"/>
      <c r="L20" s="4"/>
      <c r="M20" s="4"/>
      <c r="N20" s="14"/>
      <c r="O20" s="14"/>
      <c r="P20" s="14"/>
      <c r="Q20" s="14"/>
      <c r="R20" s="14"/>
      <c r="S20" s="4"/>
      <c r="T20" s="14"/>
      <c r="U20" s="14"/>
      <c r="V20" s="14"/>
      <c r="W20" s="14"/>
      <c r="X20" s="14"/>
      <c r="Y20" s="14"/>
      <c r="Z20" s="14"/>
      <c r="AA20" s="14"/>
      <c r="AB20" s="4"/>
      <c r="AC20" s="4"/>
      <c r="AD20" s="20"/>
    </row>
    <row r="21" spans="1:30">
      <c r="A21" s="3">
        <v>18</v>
      </c>
      <c r="B21" s="15"/>
      <c r="C21" s="15"/>
      <c r="D21" s="15"/>
      <c r="E21" s="15"/>
      <c r="F21" s="15"/>
      <c r="G21" s="15"/>
      <c r="H21" s="15"/>
      <c r="I21" s="14"/>
      <c r="J21" s="14"/>
      <c r="K21" s="4"/>
      <c r="L21" s="4"/>
      <c r="M21" s="4"/>
      <c r="N21" s="14"/>
      <c r="O21" s="14"/>
      <c r="P21" s="14"/>
      <c r="Q21" s="14"/>
      <c r="R21" s="14"/>
      <c r="S21" s="4"/>
      <c r="T21" s="14"/>
      <c r="U21" s="14"/>
      <c r="V21" s="14"/>
      <c r="W21" s="14"/>
      <c r="X21" s="14"/>
      <c r="Y21" s="14"/>
      <c r="Z21" s="14"/>
      <c r="AA21" s="14"/>
      <c r="AB21" s="4"/>
      <c r="AC21" s="4"/>
      <c r="AD21" s="20"/>
    </row>
    <row r="22" spans="1:30">
      <c r="A22" s="3">
        <v>19</v>
      </c>
      <c r="B22" s="15"/>
      <c r="C22" s="15"/>
      <c r="D22" s="15"/>
      <c r="E22" s="15"/>
      <c r="F22" s="15"/>
      <c r="G22" s="15"/>
      <c r="H22" s="15"/>
      <c r="I22" s="14"/>
      <c r="J22" s="14"/>
      <c r="K22" s="4"/>
      <c r="L22" s="4"/>
      <c r="M22" s="4"/>
      <c r="N22" s="14"/>
      <c r="O22" s="14"/>
      <c r="P22" s="14"/>
      <c r="Q22" s="14"/>
      <c r="R22" s="14"/>
      <c r="S22" s="4"/>
      <c r="T22" s="14"/>
      <c r="U22" s="14"/>
      <c r="V22" s="14"/>
      <c r="W22" s="14"/>
      <c r="X22" s="14"/>
      <c r="Y22" s="14"/>
      <c r="Z22" s="14"/>
      <c r="AA22" s="14"/>
      <c r="AB22" s="4"/>
      <c r="AC22" s="4"/>
      <c r="AD22" s="20"/>
    </row>
    <row r="23" spans="1:30">
      <c r="A23" s="3">
        <v>20</v>
      </c>
      <c r="B23" s="15"/>
      <c r="C23" s="15"/>
      <c r="D23" s="15"/>
      <c r="E23" s="15"/>
      <c r="F23" s="15"/>
      <c r="G23" s="15"/>
      <c r="H23" s="15"/>
      <c r="I23" s="14"/>
      <c r="J23" s="14"/>
      <c r="K23" s="4"/>
      <c r="L23" s="4"/>
      <c r="M23" s="4"/>
      <c r="N23" s="14"/>
      <c r="O23" s="14"/>
      <c r="P23" s="14"/>
      <c r="Q23" s="14"/>
      <c r="R23" s="14"/>
      <c r="S23" s="4"/>
      <c r="T23" s="14"/>
      <c r="U23" s="14"/>
      <c r="V23" s="14"/>
      <c r="W23" s="14"/>
      <c r="X23" s="14"/>
      <c r="Y23" s="14"/>
      <c r="Z23" s="14"/>
      <c r="AA23" s="14"/>
      <c r="AB23" s="4"/>
      <c r="AC23" s="4"/>
      <c r="AD23" s="20"/>
    </row>
    <row r="24" spans="1:30">
      <c r="A24" s="3">
        <v>21</v>
      </c>
      <c r="B24" s="15"/>
      <c r="C24" s="15"/>
      <c r="D24" s="15"/>
      <c r="E24" s="15"/>
      <c r="F24" s="15"/>
      <c r="G24" s="15"/>
      <c r="H24" s="15"/>
      <c r="I24" s="14"/>
      <c r="J24" s="14"/>
      <c r="K24" s="4"/>
      <c r="L24" s="4"/>
      <c r="M24" s="4"/>
      <c r="N24" s="14"/>
      <c r="O24" s="14"/>
      <c r="P24" s="14"/>
      <c r="Q24" s="14"/>
      <c r="R24" s="14"/>
      <c r="S24" s="4"/>
      <c r="T24" s="14"/>
      <c r="U24" s="14"/>
      <c r="V24" s="14"/>
      <c r="W24" s="14"/>
      <c r="X24" s="14"/>
      <c r="Y24" s="14"/>
      <c r="Z24" s="14"/>
      <c r="AA24" s="14"/>
      <c r="AB24" s="4"/>
      <c r="AC24" s="4"/>
      <c r="AD24" s="20"/>
    </row>
    <row r="25" spans="1:30">
      <c r="A25" s="3">
        <v>22</v>
      </c>
      <c r="B25" s="15"/>
      <c r="C25" s="15"/>
      <c r="D25" s="15"/>
      <c r="E25" s="15"/>
      <c r="F25" s="15"/>
      <c r="G25" s="15"/>
      <c r="H25" s="15"/>
      <c r="I25" s="14"/>
      <c r="J25" s="14"/>
      <c r="K25" s="4"/>
      <c r="L25" s="4"/>
      <c r="M25" s="4"/>
      <c r="N25" s="14"/>
      <c r="O25" s="14"/>
      <c r="P25" s="14"/>
      <c r="Q25" s="14"/>
      <c r="R25" s="14"/>
      <c r="S25" s="4"/>
      <c r="T25" s="14"/>
      <c r="U25" s="14"/>
      <c r="V25" s="14"/>
      <c r="W25" s="14"/>
      <c r="X25" s="14"/>
      <c r="Y25" s="14"/>
      <c r="Z25" s="14"/>
      <c r="AA25" s="14"/>
      <c r="AB25" s="4"/>
      <c r="AC25" s="4"/>
      <c r="AD25" s="20"/>
    </row>
    <row r="26" spans="1:30">
      <c r="A26" s="3">
        <v>23</v>
      </c>
      <c r="B26" s="15"/>
      <c r="C26" s="15"/>
      <c r="D26" s="15"/>
      <c r="E26" s="15"/>
      <c r="F26" s="15"/>
      <c r="G26" s="15"/>
      <c r="H26" s="15"/>
      <c r="I26" s="14"/>
      <c r="J26" s="14"/>
      <c r="K26" s="4"/>
      <c r="L26" s="4"/>
      <c r="M26" s="4"/>
      <c r="N26" s="14"/>
      <c r="O26" s="14"/>
      <c r="P26" s="14"/>
      <c r="Q26" s="14"/>
      <c r="R26" s="14"/>
      <c r="S26" s="4"/>
      <c r="T26" s="14"/>
      <c r="U26" s="14"/>
      <c r="V26" s="14"/>
      <c r="W26" s="14"/>
      <c r="X26" s="14"/>
      <c r="Y26" s="14"/>
      <c r="Z26" s="14"/>
      <c r="AA26" s="14"/>
      <c r="AB26" s="4"/>
      <c r="AC26" s="4"/>
      <c r="AD26" s="20"/>
    </row>
    <row r="27" spans="1:30">
      <c r="A27" s="3">
        <v>24</v>
      </c>
      <c r="B27" s="15"/>
      <c r="C27" s="15"/>
      <c r="D27" s="15"/>
      <c r="E27" s="15"/>
      <c r="F27" s="15"/>
      <c r="G27" s="15"/>
      <c r="H27" s="15"/>
      <c r="I27" s="14"/>
      <c r="J27" s="14"/>
      <c r="K27" s="4"/>
      <c r="L27" s="4"/>
      <c r="M27" s="4"/>
      <c r="N27" s="14"/>
      <c r="O27" s="14"/>
      <c r="P27" s="14"/>
      <c r="Q27" s="14"/>
      <c r="R27" s="14"/>
      <c r="S27" s="4"/>
      <c r="T27" s="14"/>
      <c r="U27" s="14"/>
      <c r="V27" s="14"/>
      <c r="W27" s="14"/>
      <c r="X27" s="14"/>
      <c r="Y27" s="14"/>
      <c r="Z27" s="14"/>
      <c r="AA27" s="14"/>
      <c r="AB27" s="4"/>
      <c r="AC27" s="4"/>
      <c r="AD27" s="20"/>
    </row>
    <row r="28" spans="1:30">
      <c r="A28" s="142">
        <v>25</v>
      </c>
      <c r="B28" s="15"/>
      <c r="C28" s="15"/>
      <c r="D28" s="15"/>
      <c r="E28" s="15"/>
      <c r="F28" s="15"/>
      <c r="G28" s="15"/>
      <c r="H28" s="15"/>
      <c r="I28" s="14"/>
      <c r="J28" s="14"/>
      <c r="K28" s="4"/>
      <c r="L28" s="4"/>
      <c r="M28" s="4"/>
      <c r="N28" s="14"/>
      <c r="O28" s="14"/>
      <c r="P28" s="14"/>
      <c r="Q28" s="14"/>
      <c r="R28" s="14"/>
      <c r="S28" s="4"/>
      <c r="T28" s="14"/>
      <c r="U28" s="14"/>
      <c r="V28" s="14"/>
      <c r="W28" s="14"/>
      <c r="X28" s="14"/>
      <c r="Y28" s="14"/>
      <c r="Z28" s="14"/>
      <c r="AA28" s="14"/>
      <c r="AB28" s="4"/>
      <c r="AC28" s="4"/>
      <c r="AD28" s="20"/>
    </row>
    <row r="29" spans="1:30">
      <c r="A29" s="3">
        <v>26</v>
      </c>
      <c r="B29" s="15"/>
      <c r="C29" s="15"/>
      <c r="D29" s="15"/>
      <c r="E29" s="15"/>
      <c r="F29" s="15"/>
      <c r="G29" s="15"/>
      <c r="H29" s="15"/>
      <c r="I29" s="14"/>
      <c r="J29" s="14"/>
      <c r="K29" s="4"/>
      <c r="L29" s="4"/>
      <c r="M29" s="4"/>
      <c r="N29" s="14"/>
      <c r="O29" s="14"/>
      <c r="P29" s="14"/>
      <c r="Q29" s="14"/>
      <c r="R29" s="14"/>
      <c r="S29" s="4"/>
      <c r="T29" s="14"/>
      <c r="U29" s="14"/>
      <c r="V29" s="14"/>
      <c r="W29" s="14"/>
      <c r="X29" s="14"/>
      <c r="Y29" s="14"/>
      <c r="Z29" s="14"/>
      <c r="AA29" s="14"/>
      <c r="AB29" s="4"/>
      <c r="AC29" s="4"/>
      <c r="AD29" s="20"/>
    </row>
    <row r="30" spans="1:30">
      <c r="A30" s="3">
        <v>27</v>
      </c>
      <c r="B30" s="15"/>
      <c r="C30" s="15"/>
      <c r="D30" s="15"/>
      <c r="E30" s="15"/>
      <c r="F30" s="15"/>
      <c r="G30" s="15"/>
      <c r="H30" s="15"/>
      <c r="I30" s="14"/>
      <c r="J30" s="14"/>
      <c r="K30" s="4"/>
      <c r="L30" s="4"/>
      <c r="M30" s="4"/>
      <c r="N30" s="14"/>
      <c r="O30" s="14"/>
      <c r="P30" s="14"/>
      <c r="Q30" s="14"/>
      <c r="R30" s="14"/>
      <c r="S30" s="4"/>
      <c r="T30" s="14"/>
      <c r="U30" s="14"/>
      <c r="V30" s="14"/>
      <c r="W30" s="14"/>
      <c r="X30" s="14"/>
      <c r="Y30" s="14"/>
      <c r="Z30" s="14"/>
      <c r="AA30" s="14"/>
      <c r="AB30" s="4"/>
      <c r="AC30" s="4"/>
      <c r="AD30" s="20"/>
    </row>
    <row r="31" spans="1:30">
      <c r="A31" s="3">
        <v>28</v>
      </c>
      <c r="B31" s="15"/>
      <c r="C31" s="15"/>
      <c r="D31" s="15"/>
      <c r="E31" s="15"/>
      <c r="F31" s="15"/>
      <c r="G31" s="15"/>
      <c r="H31" s="15"/>
      <c r="I31" s="14"/>
      <c r="J31" s="14"/>
      <c r="K31" s="4"/>
      <c r="L31" s="4"/>
      <c r="M31" s="4"/>
      <c r="N31" s="14"/>
      <c r="O31" s="14"/>
      <c r="P31" s="14"/>
      <c r="Q31" s="14"/>
      <c r="R31" s="14"/>
      <c r="S31" s="4"/>
      <c r="T31" s="14"/>
      <c r="U31" s="14"/>
      <c r="V31" s="14"/>
      <c r="W31" s="14"/>
      <c r="X31" s="14"/>
      <c r="Y31" s="14"/>
      <c r="Z31" s="14"/>
      <c r="AA31" s="14"/>
      <c r="AB31" s="4"/>
      <c r="AC31" s="4"/>
      <c r="AD31" s="20"/>
    </row>
    <row r="32" spans="1:30">
      <c r="A32" s="3">
        <v>29</v>
      </c>
      <c r="B32" s="15"/>
      <c r="C32" s="15"/>
      <c r="D32" s="15"/>
      <c r="E32" s="15"/>
      <c r="F32" s="15"/>
      <c r="G32" s="15"/>
      <c r="H32" s="15"/>
      <c r="I32" s="14"/>
      <c r="J32" s="14"/>
      <c r="K32" s="4"/>
      <c r="L32" s="4"/>
      <c r="M32" s="4"/>
      <c r="N32" s="14"/>
      <c r="O32" s="14"/>
      <c r="P32" s="14"/>
      <c r="Q32" s="14"/>
      <c r="R32" s="14"/>
      <c r="S32" s="4"/>
      <c r="T32" s="14"/>
      <c r="U32" s="14"/>
      <c r="V32" s="14"/>
      <c r="W32" s="14"/>
      <c r="X32" s="14"/>
      <c r="Y32" s="14"/>
      <c r="Z32" s="14"/>
      <c r="AA32" s="14"/>
      <c r="AB32" s="4"/>
      <c r="AC32" s="4"/>
      <c r="AD32" s="20"/>
    </row>
    <row r="33" spans="1:30">
      <c r="A33" s="3">
        <v>30</v>
      </c>
      <c r="B33" s="15"/>
      <c r="C33" s="15"/>
      <c r="D33" s="15"/>
      <c r="E33" s="15"/>
      <c r="F33" s="15"/>
      <c r="G33" s="15"/>
      <c r="H33" s="15"/>
      <c r="I33" s="14"/>
      <c r="J33" s="14"/>
      <c r="K33" s="4"/>
      <c r="L33" s="4"/>
      <c r="M33" s="4"/>
      <c r="N33" s="14"/>
      <c r="O33" s="14"/>
      <c r="P33" s="14"/>
      <c r="Q33" s="14"/>
      <c r="R33" s="14"/>
      <c r="S33" s="4"/>
      <c r="T33" s="14"/>
      <c r="U33" s="14"/>
      <c r="V33" s="14"/>
      <c r="W33" s="14"/>
      <c r="X33" s="14"/>
      <c r="Y33" s="14"/>
      <c r="Z33" s="14"/>
      <c r="AA33" s="14"/>
      <c r="AB33" s="4"/>
      <c r="AC33" s="4"/>
      <c r="AD33" s="20"/>
    </row>
    <row r="34" spans="1:30">
      <c r="A34" s="3">
        <v>31</v>
      </c>
      <c r="B34" s="15"/>
      <c r="C34" s="15"/>
      <c r="D34" s="15"/>
      <c r="E34" s="15"/>
      <c r="F34" s="15"/>
      <c r="G34" s="15"/>
      <c r="H34" s="15"/>
      <c r="I34" s="14"/>
      <c r="J34" s="14"/>
      <c r="K34" s="4"/>
      <c r="L34" s="4"/>
      <c r="M34" s="4"/>
      <c r="N34" s="14"/>
      <c r="O34" s="14"/>
      <c r="P34" s="14"/>
      <c r="Q34" s="14"/>
      <c r="R34" s="14"/>
      <c r="S34" s="4"/>
      <c r="T34" s="14"/>
      <c r="U34" s="14"/>
      <c r="V34" s="14"/>
      <c r="W34" s="14"/>
      <c r="X34" s="14"/>
      <c r="Y34" s="14"/>
      <c r="Z34" s="14"/>
      <c r="AA34" s="14"/>
      <c r="AB34" s="4"/>
      <c r="AC34" s="4"/>
      <c r="AD34" s="20"/>
    </row>
    <row r="35" spans="1:30">
      <c r="A35" s="3">
        <v>32</v>
      </c>
      <c r="B35" s="15"/>
      <c r="C35" s="15"/>
      <c r="D35" s="15"/>
      <c r="E35" s="15"/>
      <c r="F35" s="15"/>
      <c r="G35" s="15"/>
      <c r="H35" s="15"/>
      <c r="I35" s="14"/>
      <c r="J35" s="14"/>
      <c r="K35" s="4"/>
      <c r="L35" s="4"/>
      <c r="M35" s="4"/>
      <c r="N35" s="14"/>
      <c r="O35" s="14"/>
      <c r="P35" s="14"/>
      <c r="Q35" s="14"/>
      <c r="R35" s="14"/>
      <c r="S35" s="4"/>
      <c r="T35" s="14"/>
      <c r="U35" s="14"/>
      <c r="V35" s="14"/>
      <c r="W35" s="14"/>
      <c r="X35" s="14"/>
      <c r="Y35" s="14"/>
      <c r="Z35" s="14"/>
      <c r="AA35" s="14"/>
      <c r="AB35" s="4"/>
      <c r="AC35" s="4"/>
      <c r="AD35" s="20"/>
    </row>
    <row r="36" spans="1:30">
      <c r="A36" s="142">
        <v>33</v>
      </c>
      <c r="B36" s="15"/>
      <c r="C36" s="15"/>
      <c r="D36" s="15"/>
      <c r="E36" s="15"/>
      <c r="F36" s="15"/>
      <c r="G36" s="15"/>
      <c r="H36" s="15"/>
      <c r="I36" s="14"/>
      <c r="J36" s="14"/>
      <c r="K36" s="4"/>
      <c r="L36" s="4"/>
      <c r="M36" s="4"/>
      <c r="N36" s="14"/>
      <c r="O36" s="14"/>
      <c r="P36" s="14"/>
      <c r="Q36" s="14"/>
      <c r="R36" s="14"/>
      <c r="S36" s="4"/>
      <c r="T36" s="14"/>
      <c r="U36" s="14"/>
      <c r="V36" s="14"/>
      <c r="W36" s="14"/>
      <c r="X36" s="14"/>
      <c r="Y36" s="14"/>
      <c r="Z36" s="14"/>
      <c r="AA36" s="14"/>
      <c r="AB36" s="4"/>
      <c r="AC36" s="4"/>
      <c r="AD36" s="20"/>
    </row>
    <row r="37" spans="1:30">
      <c r="A37" s="3">
        <v>34</v>
      </c>
      <c r="B37" s="15"/>
      <c r="C37" s="15"/>
      <c r="D37" s="15"/>
      <c r="E37" s="15"/>
      <c r="F37" s="15"/>
      <c r="G37" s="15"/>
      <c r="H37" s="15"/>
      <c r="I37" s="14"/>
      <c r="J37" s="14"/>
      <c r="K37" s="4"/>
      <c r="L37" s="4"/>
      <c r="M37" s="4"/>
      <c r="N37" s="14"/>
      <c r="O37" s="14"/>
      <c r="P37" s="14"/>
      <c r="Q37" s="14"/>
      <c r="R37" s="14"/>
      <c r="S37" s="4"/>
      <c r="T37" s="14"/>
      <c r="U37" s="14"/>
      <c r="V37" s="14"/>
      <c r="W37" s="14"/>
      <c r="X37" s="14"/>
      <c r="Y37" s="14"/>
      <c r="Z37" s="14"/>
      <c r="AA37" s="14"/>
      <c r="AB37" s="4"/>
      <c r="AC37" s="4"/>
      <c r="AD37" s="20"/>
    </row>
    <row r="38" spans="1:30">
      <c r="A38" s="3">
        <v>35</v>
      </c>
      <c r="B38" s="15"/>
      <c r="C38" s="15"/>
      <c r="D38" s="15"/>
      <c r="E38" s="15"/>
      <c r="F38" s="15"/>
      <c r="G38" s="15"/>
      <c r="H38" s="15"/>
      <c r="I38" s="14"/>
      <c r="J38" s="14"/>
      <c r="K38" s="4"/>
      <c r="L38" s="4"/>
      <c r="M38" s="4"/>
      <c r="N38" s="14"/>
      <c r="O38" s="14"/>
      <c r="P38" s="14"/>
      <c r="Q38" s="14"/>
      <c r="R38" s="14"/>
      <c r="S38" s="4"/>
      <c r="T38" s="14"/>
      <c r="U38" s="14"/>
      <c r="V38" s="14"/>
      <c r="W38" s="14"/>
      <c r="X38" s="14"/>
      <c r="Y38" s="14"/>
      <c r="Z38" s="14"/>
      <c r="AA38" s="14"/>
      <c r="AB38" s="4"/>
      <c r="AC38" s="4"/>
      <c r="AD38" s="20"/>
    </row>
    <row r="39" spans="1:30">
      <c r="A39" s="3">
        <v>36</v>
      </c>
      <c r="B39" s="15"/>
      <c r="C39" s="15"/>
      <c r="D39" s="15"/>
      <c r="E39" s="15"/>
      <c r="F39" s="15"/>
      <c r="G39" s="15"/>
      <c r="H39" s="15"/>
      <c r="I39" s="14"/>
      <c r="J39" s="14"/>
      <c r="K39" s="4"/>
      <c r="L39" s="4"/>
      <c r="M39" s="4"/>
      <c r="N39" s="14"/>
      <c r="O39" s="14"/>
      <c r="P39" s="14"/>
      <c r="Q39" s="14"/>
      <c r="R39" s="14"/>
      <c r="S39" s="4"/>
      <c r="T39" s="14"/>
      <c r="U39" s="14"/>
      <c r="V39" s="14"/>
      <c r="W39" s="14"/>
      <c r="X39" s="14"/>
      <c r="Y39" s="14"/>
      <c r="Z39" s="14"/>
      <c r="AA39" s="14"/>
      <c r="AB39" s="4"/>
      <c r="AC39" s="4"/>
      <c r="AD39" s="20"/>
    </row>
    <row r="40" spans="1:30">
      <c r="A40" s="3">
        <v>37</v>
      </c>
      <c r="B40" s="15"/>
      <c r="C40" s="15"/>
      <c r="D40" s="15"/>
      <c r="E40" s="15"/>
      <c r="F40" s="15"/>
      <c r="G40" s="15"/>
      <c r="H40" s="15"/>
      <c r="I40" s="14"/>
      <c r="J40" s="14"/>
      <c r="K40" s="4"/>
      <c r="L40" s="4"/>
      <c r="M40" s="4"/>
      <c r="N40" s="14"/>
      <c r="O40" s="14"/>
      <c r="P40" s="14"/>
      <c r="Q40" s="14"/>
      <c r="R40" s="14"/>
      <c r="S40" s="4"/>
      <c r="T40" s="14"/>
      <c r="U40" s="14"/>
      <c r="V40" s="14"/>
      <c r="W40" s="14"/>
      <c r="X40" s="14"/>
      <c r="Y40" s="14"/>
      <c r="Z40" s="14"/>
      <c r="AA40" s="14"/>
      <c r="AB40" s="4"/>
      <c r="AC40" s="4"/>
      <c r="AD40" s="20"/>
    </row>
    <row r="41" spans="1:30">
      <c r="A41" s="3">
        <v>38</v>
      </c>
      <c r="B41" s="15"/>
      <c r="C41" s="15"/>
      <c r="D41" s="15"/>
      <c r="E41" s="15"/>
      <c r="F41" s="15"/>
      <c r="G41" s="15"/>
      <c r="H41" s="15"/>
      <c r="I41" s="14"/>
      <c r="J41" s="14"/>
      <c r="K41" s="4"/>
      <c r="L41" s="4"/>
      <c r="M41" s="4"/>
      <c r="N41" s="14"/>
      <c r="O41" s="14"/>
      <c r="P41" s="14"/>
      <c r="Q41" s="14"/>
      <c r="R41" s="14"/>
      <c r="S41" s="4"/>
      <c r="T41" s="14"/>
      <c r="U41" s="14"/>
      <c r="V41" s="14"/>
      <c r="W41" s="14"/>
      <c r="X41" s="14"/>
      <c r="Y41" s="14"/>
      <c r="Z41" s="14"/>
      <c r="AA41" s="14"/>
      <c r="AB41" s="4"/>
      <c r="AC41" s="4"/>
      <c r="AD41" s="20"/>
    </row>
    <row r="42" spans="1:30">
      <c r="A42" s="3">
        <v>39</v>
      </c>
      <c r="B42" s="15"/>
      <c r="C42" s="15"/>
      <c r="D42" s="15"/>
      <c r="E42" s="15"/>
      <c r="F42" s="15"/>
      <c r="G42" s="15"/>
      <c r="H42" s="15"/>
      <c r="I42" s="14"/>
      <c r="J42" s="14"/>
      <c r="K42" s="4"/>
      <c r="L42" s="4"/>
      <c r="M42" s="4"/>
      <c r="N42" s="14"/>
      <c r="O42" s="14"/>
      <c r="P42" s="14"/>
      <c r="Q42" s="14"/>
      <c r="R42" s="14"/>
      <c r="S42" s="4"/>
      <c r="T42" s="14"/>
      <c r="U42" s="14"/>
      <c r="V42" s="14"/>
      <c r="W42" s="14"/>
      <c r="X42" s="14"/>
      <c r="Y42" s="14"/>
      <c r="Z42" s="14"/>
      <c r="AA42" s="14"/>
      <c r="AB42" s="4"/>
      <c r="AC42" s="4"/>
      <c r="AD42" s="20"/>
    </row>
    <row r="43" spans="1:30">
      <c r="A43" s="3">
        <v>40</v>
      </c>
      <c r="B43" s="15"/>
      <c r="C43" s="15"/>
      <c r="D43" s="15"/>
      <c r="E43" s="15"/>
      <c r="F43" s="15"/>
      <c r="G43" s="15"/>
      <c r="H43" s="15"/>
      <c r="I43" s="14"/>
      <c r="J43" s="14"/>
      <c r="K43" s="4"/>
      <c r="L43" s="4"/>
      <c r="M43" s="4"/>
      <c r="N43" s="14"/>
      <c r="O43" s="14"/>
      <c r="P43" s="14"/>
      <c r="Q43" s="14"/>
      <c r="R43" s="14"/>
      <c r="S43" s="4"/>
      <c r="T43" s="14"/>
      <c r="U43" s="14"/>
      <c r="V43" s="14"/>
      <c r="W43" s="14"/>
      <c r="X43" s="14"/>
      <c r="Y43" s="14"/>
      <c r="Z43" s="14"/>
      <c r="AA43" s="14"/>
      <c r="AB43" s="4"/>
      <c r="AC43" s="4"/>
      <c r="AD43" s="20"/>
    </row>
    <row r="44" spans="1:30">
      <c r="A44" s="142">
        <v>41</v>
      </c>
      <c r="B44" s="15"/>
      <c r="C44" s="15"/>
      <c r="D44" s="15"/>
      <c r="E44" s="15"/>
      <c r="F44" s="15"/>
      <c r="G44" s="15"/>
      <c r="H44" s="15"/>
      <c r="I44" s="14"/>
      <c r="J44" s="14"/>
      <c r="K44" s="4"/>
      <c r="L44" s="4"/>
      <c r="M44" s="4"/>
      <c r="N44" s="14"/>
      <c r="O44" s="14"/>
      <c r="P44" s="14"/>
      <c r="Q44" s="14"/>
      <c r="R44" s="14"/>
      <c r="S44" s="4"/>
      <c r="T44" s="14"/>
      <c r="U44" s="14"/>
      <c r="V44" s="14"/>
      <c r="W44" s="14"/>
      <c r="X44" s="14"/>
      <c r="Y44" s="14"/>
      <c r="Z44" s="14"/>
      <c r="AA44" s="14"/>
      <c r="AB44" s="4"/>
      <c r="AC44" s="4"/>
      <c r="AD44" s="20"/>
    </row>
    <row r="45" spans="1:30">
      <c r="A45" s="3">
        <v>42</v>
      </c>
      <c r="B45" s="15"/>
      <c r="C45" s="15"/>
      <c r="D45" s="15"/>
      <c r="E45" s="15"/>
      <c r="F45" s="15"/>
      <c r="G45" s="15"/>
      <c r="H45" s="15"/>
      <c r="I45" s="14"/>
      <c r="J45" s="14"/>
      <c r="K45" s="4"/>
      <c r="L45" s="4"/>
      <c r="M45" s="4"/>
      <c r="N45" s="14"/>
      <c r="O45" s="14"/>
      <c r="P45" s="14"/>
      <c r="Q45" s="14"/>
      <c r="R45" s="14"/>
      <c r="S45" s="4"/>
      <c r="T45" s="14"/>
      <c r="U45" s="14"/>
      <c r="V45" s="14"/>
      <c r="W45" s="14"/>
      <c r="X45" s="14"/>
      <c r="Y45" s="14"/>
      <c r="Z45" s="14"/>
      <c r="AA45" s="14"/>
      <c r="AB45" s="4"/>
      <c r="AC45" s="4"/>
      <c r="AD45" s="20"/>
    </row>
    <row r="46" spans="1:30">
      <c r="A46" s="3">
        <v>43</v>
      </c>
      <c r="B46" s="15"/>
      <c r="C46" s="15"/>
      <c r="D46" s="15"/>
      <c r="E46" s="15"/>
      <c r="F46" s="15"/>
      <c r="G46" s="15"/>
      <c r="H46" s="15"/>
      <c r="I46" s="14"/>
      <c r="J46" s="14"/>
      <c r="K46" s="4"/>
      <c r="L46" s="4"/>
      <c r="M46" s="4"/>
      <c r="N46" s="14"/>
      <c r="O46" s="14"/>
      <c r="P46" s="14"/>
      <c r="Q46" s="14"/>
      <c r="R46" s="14"/>
      <c r="S46" s="4"/>
      <c r="T46" s="14"/>
      <c r="U46" s="14"/>
      <c r="V46" s="14"/>
      <c r="W46" s="14"/>
      <c r="X46" s="14"/>
      <c r="Y46" s="14"/>
      <c r="Z46" s="14"/>
      <c r="AA46" s="14"/>
      <c r="AB46" s="4"/>
      <c r="AC46" s="4"/>
      <c r="AD46" s="20"/>
    </row>
    <row r="47" spans="1:30">
      <c r="A47" s="3">
        <v>44</v>
      </c>
      <c r="B47" s="15"/>
      <c r="C47" s="15"/>
      <c r="D47" s="15"/>
      <c r="E47" s="15"/>
      <c r="F47" s="15"/>
      <c r="G47" s="15"/>
      <c r="H47" s="15"/>
      <c r="I47" s="14"/>
      <c r="J47" s="14"/>
      <c r="K47" s="4"/>
      <c r="L47" s="4"/>
      <c r="M47" s="4"/>
      <c r="N47" s="14"/>
      <c r="O47" s="14"/>
      <c r="P47" s="14"/>
      <c r="Q47" s="14"/>
      <c r="R47" s="14"/>
      <c r="S47" s="4"/>
      <c r="T47" s="14"/>
      <c r="U47" s="14"/>
      <c r="V47" s="14"/>
      <c r="W47" s="14"/>
      <c r="X47" s="14"/>
      <c r="Y47" s="14"/>
      <c r="Z47" s="14"/>
      <c r="AA47" s="14"/>
      <c r="AB47" s="4"/>
      <c r="AC47" s="4"/>
      <c r="AD47" s="20"/>
    </row>
    <row r="48" spans="1:30">
      <c r="A48" s="3">
        <v>45</v>
      </c>
      <c r="B48" s="15"/>
      <c r="C48" s="15"/>
      <c r="D48" s="15"/>
      <c r="E48" s="15"/>
      <c r="F48" s="15"/>
      <c r="G48" s="15"/>
      <c r="H48" s="15"/>
      <c r="I48" s="14"/>
      <c r="J48" s="14"/>
      <c r="K48" s="4"/>
      <c r="L48" s="4"/>
      <c r="M48" s="4"/>
      <c r="N48" s="14"/>
      <c r="O48" s="14"/>
      <c r="P48" s="14"/>
      <c r="Q48" s="14"/>
      <c r="R48" s="14"/>
      <c r="S48" s="4"/>
      <c r="T48" s="14"/>
      <c r="U48" s="14"/>
      <c r="V48" s="14"/>
      <c r="W48" s="14"/>
      <c r="X48" s="14"/>
      <c r="Y48" s="14"/>
      <c r="Z48" s="14"/>
      <c r="AA48" s="14"/>
      <c r="AB48" s="4"/>
      <c r="AC48" s="4"/>
      <c r="AD48" s="20"/>
    </row>
    <row r="49" spans="1:30">
      <c r="A49" s="3">
        <v>46</v>
      </c>
      <c r="B49" s="15"/>
      <c r="C49" s="15"/>
      <c r="D49" s="15"/>
      <c r="E49" s="15"/>
      <c r="F49" s="15"/>
      <c r="G49" s="15"/>
      <c r="H49" s="15"/>
      <c r="I49" s="14"/>
      <c r="J49" s="14"/>
      <c r="K49" s="4"/>
      <c r="L49" s="4"/>
      <c r="M49" s="4"/>
      <c r="N49" s="14"/>
      <c r="O49" s="14"/>
      <c r="P49" s="14"/>
      <c r="Q49" s="14"/>
      <c r="R49" s="14"/>
      <c r="S49" s="4"/>
      <c r="T49" s="14"/>
      <c r="U49" s="14"/>
      <c r="V49" s="14"/>
      <c r="W49" s="14"/>
      <c r="X49" s="14"/>
      <c r="Y49" s="14"/>
      <c r="Z49" s="14"/>
      <c r="AA49" s="14"/>
      <c r="AB49" s="4"/>
      <c r="AC49" s="4"/>
      <c r="AD49" s="20"/>
    </row>
    <row r="50" spans="1:30">
      <c r="A50" s="3">
        <v>47</v>
      </c>
      <c r="B50" s="15"/>
      <c r="C50" s="15"/>
      <c r="D50" s="15"/>
      <c r="E50" s="15"/>
      <c r="F50" s="15"/>
      <c r="G50" s="15"/>
      <c r="H50" s="15"/>
      <c r="I50" s="14"/>
      <c r="J50" s="14"/>
      <c r="K50" s="4"/>
      <c r="L50" s="4"/>
      <c r="M50" s="4"/>
      <c r="N50" s="14"/>
      <c r="O50" s="14"/>
      <c r="P50" s="14"/>
      <c r="Q50" s="14"/>
      <c r="R50" s="14"/>
      <c r="S50" s="4"/>
      <c r="T50" s="14"/>
      <c r="U50" s="14"/>
      <c r="V50" s="14"/>
      <c r="W50" s="14"/>
      <c r="X50" s="14"/>
      <c r="Y50" s="14"/>
      <c r="Z50" s="14"/>
      <c r="AA50" s="14"/>
      <c r="AB50" s="4"/>
      <c r="AC50" s="4"/>
      <c r="AD50" s="20"/>
    </row>
    <row r="51" spans="1:30">
      <c r="A51" s="3">
        <v>48</v>
      </c>
      <c r="B51" s="15"/>
      <c r="C51" s="15"/>
      <c r="D51" s="15"/>
      <c r="E51" s="15"/>
      <c r="F51" s="15"/>
      <c r="G51" s="15"/>
      <c r="H51" s="15"/>
      <c r="I51" s="14"/>
      <c r="J51" s="14"/>
      <c r="K51" s="4"/>
      <c r="L51" s="4"/>
      <c r="M51" s="4"/>
      <c r="N51" s="14"/>
      <c r="O51" s="14"/>
      <c r="P51" s="14"/>
      <c r="Q51" s="14"/>
      <c r="R51" s="14"/>
      <c r="S51" s="4"/>
      <c r="T51" s="14"/>
      <c r="U51" s="14"/>
      <c r="V51" s="14"/>
      <c r="W51" s="14"/>
      <c r="X51" s="14"/>
      <c r="Y51" s="14"/>
      <c r="Z51" s="14"/>
      <c r="AA51" s="14"/>
      <c r="AB51" s="4"/>
      <c r="AC51" s="4"/>
      <c r="AD51" s="20"/>
    </row>
    <row r="52" spans="1:30">
      <c r="A52" s="142">
        <v>49</v>
      </c>
      <c r="B52" s="15"/>
      <c r="C52" s="15"/>
      <c r="D52" s="15"/>
      <c r="E52" s="15"/>
      <c r="F52" s="15"/>
      <c r="G52" s="15"/>
      <c r="H52" s="15"/>
      <c r="I52" s="14"/>
      <c r="J52" s="14"/>
      <c r="K52" s="4"/>
      <c r="L52" s="4"/>
      <c r="M52" s="4"/>
      <c r="N52" s="14"/>
      <c r="O52" s="14"/>
      <c r="P52" s="14"/>
      <c r="Q52" s="14"/>
      <c r="R52" s="14"/>
      <c r="S52" s="4"/>
      <c r="T52" s="14"/>
      <c r="U52" s="14"/>
      <c r="V52" s="14"/>
      <c r="W52" s="14"/>
      <c r="X52" s="14"/>
      <c r="Y52" s="14"/>
      <c r="Z52" s="14"/>
      <c r="AA52" s="14"/>
      <c r="AB52" s="4"/>
      <c r="AC52" s="4"/>
      <c r="AD52" s="20"/>
    </row>
    <row r="53" spans="1:30">
      <c r="A53" s="3">
        <v>50</v>
      </c>
      <c r="B53" s="15"/>
      <c r="C53" s="15"/>
      <c r="D53" s="15"/>
      <c r="E53" s="15"/>
      <c r="F53" s="15"/>
      <c r="G53" s="15"/>
      <c r="H53" s="15"/>
      <c r="I53" s="14"/>
      <c r="J53" s="14"/>
      <c r="K53" s="4"/>
      <c r="L53" s="4"/>
      <c r="M53" s="4"/>
      <c r="N53" s="14"/>
      <c r="O53" s="14"/>
      <c r="P53" s="14"/>
      <c r="Q53" s="14"/>
      <c r="R53" s="14"/>
      <c r="S53" s="4"/>
      <c r="T53" s="14"/>
      <c r="U53" s="14"/>
      <c r="V53" s="14"/>
      <c r="W53" s="14"/>
      <c r="X53" s="14"/>
      <c r="Y53" s="14"/>
      <c r="Z53" s="14"/>
      <c r="AA53" s="14"/>
      <c r="AB53" s="4"/>
      <c r="AC53" s="4"/>
      <c r="AD53" s="20"/>
    </row>
    <row r="54" spans="1:30">
      <c r="A54" s="3">
        <v>51</v>
      </c>
      <c r="B54" s="15"/>
      <c r="C54" s="15"/>
      <c r="D54" s="15"/>
      <c r="E54" s="15"/>
      <c r="F54" s="15"/>
      <c r="G54" s="15"/>
      <c r="H54" s="15"/>
      <c r="I54" s="14"/>
      <c r="J54" s="14"/>
      <c r="K54" s="4"/>
      <c r="L54" s="4"/>
      <c r="M54" s="4"/>
      <c r="N54" s="14"/>
      <c r="O54" s="14"/>
      <c r="P54" s="14"/>
      <c r="Q54" s="14"/>
      <c r="R54" s="14"/>
      <c r="S54" s="4"/>
      <c r="T54" s="14"/>
      <c r="U54" s="14"/>
      <c r="V54" s="14"/>
      <c r="W54" s="14"/>
      <c r="X54" s="14"/>
      <c r="Y54" s="14"/>
      <c r="Z54" s="14"/>
      <c r="AA54" s="14"/>
      <c r="AB54" s="4"/>
      <c r="AC54" s="4"/>
      <c r="AD54" s="20"/>
    </row>
    <row r="55" spans="1:30">
      <c r="A55" s="3">
        <v>52</v>
      </c>
      <c r="B55" s="15"/>
      <c r="C55" s="15"/>
      <c r="D55" s="15"/>
      <c r="E55" s="15"/>
      <c r="F55" s="15"/>
      <c r="G55" s="15"/>
      <c r="H55" s="15"/>
      <c r="I55" s="14"/>
      <c r="J55" s="14"/>
      <c r="K55" s="4"/>
      <c r="L55" s="4"/>
      <c r="M55" s="4"/>
      <c r="N55" s="14"/>
      <c r="O55" s="14"/>
      <c r="P55" s="14"/>
      <c r="Q55" s="14"/>
      <c r="R55" s="14"/>
      <c r="S55" s="4"/>
      <c r="T55" s="14"/>
      <c r="U55" s="14"/>
      <c r="V55" s="14"/>
      <c r="W55" s="14"/>
      <c r="X55" s="14"/>
      <c r="Y55" s="14"/>
      <c r="Z55" s="14"/>
      <c r="AA55" s="14"/>
      <c r="AB55" s="4"/>
      <c r="AC55" s="4"/>
      <c r="AD55" s="20"/>
    </row>
    <row r="56" spans="1:30">
      <c r="A56" s="3">
        <v>53</v>
      </c>
      <c r="B56" s="15"/>
      <c r="C56" s="15"/>
      <c r="D56" s="15"/>
      <c r="E56" s="15"/>
      <c r="F56" s="15"/>
      <c r="G56" s="15"/>
      <c r="H56" s="15"/>
      <c r="I56" s="14"/>
      <c r="J56" s="14"/>
      <c r="K56" s="4"/>
      <c r="L56" s="4"/>
      <c r="M56" s="4"/>
      <c r="N56" s="14"/>
      <c r="O56" s="14"/>
      <c r="P56" s="14"/>
      <c r="Q56" s="14"/>
      <c r="R56" s="14"/>
      <c r="S56" s="4"/>
      <c r="T56" s="14"/>
      <c r="U56" s="14"/>
      <c r="V56" s="14"/>
      <c r="W56" s="14"/>
      <c r="X56" s="14"/>
      <c r="Y56" s="14"/>
      <c r="Z56" s="14"/>
      <c r="AA56" s="14"/>
      <c r="AB56" s="4"/>
      <c r="AC56" s="4"/>
      <c r="AD56" s="20"/>
    </row>
    <row r="57" spans="1:30">
      <c r="A57" s="3">
        <v>54</v>
      </c>
      <c r="B57" s="15"/>
      <c r="C57" s="15"/>
      <c r="D57" s="15"/>
      <c r="E57" s="15"/>
      <c r="F57" s="15"/>
      <c r="G57" s="15"/>
      <c r="H57" s="15"/>
      <c r="I57" s="14"/>
      <c r="J57" s="14"/>
      <c r="K57" s="4"/>
      <c r="L57" s="4"/>
      <c r="M57" s="4"/>
      <c r="N57" s="14"/>
      <c r="O57" s="14"/>
      <c r="P57" s="14"/>
      <c r="Q57" s="14"/>
      <c r="R57" s="14"/>
      <c r="S57" s="4"/>
      <c r="T57" s="14"/>
      <c r="U57" s="14"/>
      <c r="V57" s="14"/>
      <c r="W57" s="14"/>
      <c r="X57" s="14"/>
      <c r="Y57" s="14"/>
      <c r="Z57" s="14"/>
      <c r="AA57" s="14"/>
      <c r="AB57" s="4"/>
      <c r="AC57" s="4"/>
      <c r="AD57" s="20"/>
    </row>
    <row r="58" spans="1:30">
      <c r="A58" s="3">
        <v>55</v>
      </c>
      <c r="B58" s="15"/>
      <c r="C58" s="15"/>
      <c r="D58" s="15"/>
      <c r="E58" s="15"/>
      <c r="F58" s="15"/>
      <c r="G58" s="15"/>
      <c r="H58" s="15"/>
      <c r="I58" s="14"/>
      <c r="J58" s="14"/>
      <c r="K58" s="4"/>
      <c r="L58" s="4"/>
      <c r="M58" s="4"/>
      <c r="N58" s="14"/>
      <c r="O58" s="14"/>
      <c r="P58" s="14"/>
      <c r="Q58" s="14"/>
      <c r="R58" s="14"/>
      <c r="S58" s="4"/>
      <c r="T58" s="14"/>
      <c r="U58" s="14"/>
      <c r="V58" s="14"/>
      <c r="W58" s="14"/>
      <c r="X58" s="14"/>
      <c r="Y58" s="14"/>
      <c r="Z58" s="14"/>
      <c r="AA58" s="14"/>
      <c r="AB58" s="4"/>
      <c r="AC58" s="4"/>
      <c r="AD58" s="20"/>
    </row>
    <row r="59" spans="1:30">
      <c r="A59" s="3">
        <v>56</v>
      </c>
      <c r="B59" s="15"/>
      <c r="C59" s="15"/>
      <c r="D59" s="15"/>
      <c r="E59" s="15"/>
      <c r="F59" s="15"/>
      <c r="G59" s="15"/>
      <c r="H59" s="15"/>
      <c r="I59" s="14"/>
      <c r="J59" s="14"/>
      <c r="K59" s="4"/>
      <c r="L59" s="4"/>
      <c r="M59" s="4"/>
      <c r="N59" s="14"/>
      <c r="O59" s="14"/>
      <c r="P59" s="14"/>
      <c r="Q59" s="14"/>
      <c r="R59" s="14"/>
      <c r="S59" s="4"/>
      <c r="T59" s="14"/>
      <c r="U59" s="14"/>
      <c r="V59" s="14"/>
      <c r="W59" s="14"/>
      <c r="X59" s="14"/>
      <c r="Y59" s="14"/>
      <c r="Z59" s="14"/>
      <c r="AA59" s="14"/>
      <c r="AB59" s="4"/>
      <c r="AC59" s="4"/>
      <c r="AD59" s="20"/>
    </row>
    <row r="60" spans="1:30">
      <c r="A60" s="142">
        <v>57</v>
      </c>
      <c r="B60" s="15"/>
      <c r="C60" s="15"/>
      <c r="D60" s="15"/>
      <c r="E60" s="15"/>
      <c r="F60" s="15"/>
      <c r="G60" s="15"/>
      <c r="H60" s="15"/>
      <c r="I60" s="14"/>
      <c r="J60" s="14"/>
      <c r="K60" s="4"/>
      <c r="L60" s="4"/>
      <c r="M60" s="4"/>
      <c r="N60" s="14"/>
      <c r="O60" s="14"/>
      <c r="P60" s="14"/>
      <c r="Q60" s="14"/>
      <c r="R60" s="14"/>
      <c r="S60" s="4"/>
      <c r="T60" s="14"/>
      <c r="U60" s="14"/>
      <c r="V60" s="14"/>
      <c r="W60" s="14"/>
      <c r="X60" s="14"/>
      <c r="Y60" s="14"/>
      <c r="Z60" s="14"/>
      <c r="AA60" s="14"/>
      <c r="AB60" s="4"/>
      <c r="AC60" s="4"/>
      <c r="AD60" s="20"/>
    </row>
    <row r="61" spans="1:30">
      <c r="A61" s="3">
        <v>58</v>
      </c>
      <c r="B61" s="15"/>
      <c r="C61" s="15"/>
      <c r="D61" s="15"/>
      <c r="E61" s="15"/>
      <c r="F61" s="15"/>
      <c r="G61" s="15"/>
      <c r="H61" s="15"/>
      <c r="I61" s="14"/>
      <c r="J61" s="14"/>
      <c r="K61" s="4"/>
      <c r="L61" s="4"/>
      <c r="M61" s="4"/>
      <c r="N61" s="14"/>
      <c r="O61" s="14"/>
      <c r="P61" s="14"/>
      <c r="Q61" s="14"/>
      <c r="R61" s="14"/>
      <c r="S61" s="4"/>
      <c r="T61" s="14"/>
      <c r="U61" s="14"/>
      <c r="V61" s="14"/>
      <c r="W61" s="14"/>
      <c r="X61" s="14"/>
      <c r="Y61" s="14"/>
      <c r="Z61" s="14"/>
      <c r="AA61" s="14"/>
      <c r="AB61" s="4"/>
      <c r="AC61" s="4"/>
      <c r="AD61" s="20"/>
    </row>
    <row r="62" spans="1:30">
      <c r="A62" s="3">
        <v>59</v>
      </c>
      <c r="B62" s="15"/>
      <c r="C62" s="15"/>
      <c r="D62" s="15"/>
      <c r="E62" s="15"/>
      <c r="F62" s="15"/>
      <c r="G62" s="15"/>
      <c r="H62" s="15"/>
      <c r="I62" s="14"/>
      <c r="J62" s="14"/>
      <c r="K62" s="4"/>
      <c r="L62" s="4"/>
      <c r="M62" s="4"/>
      <c r="N62" s="14"/>
      <c r="O62" s="14"/>
      <c r="P62" s="14"/>
      <c r="Q62" s="14"/>
      <c r="R62" s="14"/>
      <c r="S62" s="4"/>
      <c r="T62" s="14"/>
      <c r="U62" s="14"/>
      <c r="V62" s="14"/>
      <c r="W62" s="14"/>
      <c r="X62" s="14"/>
      <c r="Y62" s="14"/>
      <c r="Z62" s="14"/>
      <c r="AA62" s="14"/>
      <c r="AB62" s="4"/>
      <c r="AC62" s="4"/>
      <c r="AD62" s="20"/>
    </row>
    <row r="63" spans="1:30">
      <c r="A63" s="3">
        <v>60</v>
      </c>
      <c r="B63" s="15"/>
      <c r="C63" s="15"/>
      <c r="D63" s="15"/>
      <c r="E63" s="15"/>
      <c r="F63" s="15"/>
      <c r="G63" s="15"/>
      <c r="H63" s="15"/>
      <c r="I63" s="14"/>
      <c r="J63" s="14"/>
      <c r="K63" s="4"/>
      <c r="L63" s="4"/>
      <c r="M63" s="4"/>
      <c r="N63" s="14"/>
      <c r="O63" s="14"/>
      <c r="P63" s="14"/>
      <c r="Q63" s="14"/>
      <c r="R63" s="14"/>
      <c r="S63" s="4"/>
      <c r="T63" s="14"/>
      <c r="U63" s="14"/>
      <c r="V63" s="14"/>
      <c r="W63" s="14"/>
      <c r="X63" s="14"/>
      <c r="Y63" s="14"/>
      <c r="Z63" s="14"/>
      <c r="AA63" s="14"/>
      <c r="AB63" s="4"/>
      <c r="AC63" s="4"/>
      <c r="AD63" s="20"/>
    </row>
    <row r="64" spans="1:30">
      <c r="A64" s="3">
        <v>61</v>
      </c>
      <c r="B64" s="15"/>
      <c r="C64" s="15"/>
      <c r="D64" s="15"/>
      <c r="E64" s="15"/>
      <c r="F64" s="15"/>
      <c r="G64" s="15"/>
      <c r="H64" s="15"/>
      <c r="I64" s="14"/>
      <c r="J64" s="14"/>
      <c r="K64" s="4"/>
      <c r="L64" s="4"/>
      <c r="M64" s="4"/>
      <c r="N64" s="14"/>
      <c r="O64" s="14"/>
      <c r="P64" s="14"/>
      <c r="Q64" s="14"/>
      <c r="R64" s="14"/>
      <c r="S64" s="4"/>
      <c r="T64" s="14"/>
      <c r="U64" s="14"/>
      <c r="V64" s="14"/>
      <c r="W64" s="14"/>
      <c r="X64" s="14"/>
      <c r="Y64" s="14"/>
      <c r="Z64" s="14"/>
      <c r="AA64" s="14"/>
      <c r="AB64" s="4"/>
      <c r="AC64" s="4"/>
      <c r="AD64" s="20"/>
    </row>
    <row r="65" spans="1:30">
      <c r="A65" s="3">
        <v>62</v>
      </c>
      <c r="B65" s="15"/>
      <c r="C65" s="15"/>
      <c r="D65" s="15"/>
      <c r="E65" s="15"/>
      <c r="F65" s="15"/>
      <c r="G65" s="15"/>
      <c r="H65" s="15"/>
      <c r="I65" s="14"/>
      <c r="J65" s="14"/>
      <c r="K65" s="4"/>
      <c r="L65" s="4"/>
      <c r="M65" s="4"/>
      <c r="N65" s="14"/>
      <c r="O65" s="14"/>
      <c r="P65" s="14"/>
      <c r="Q65" s="14"/>
      <c r="R65" s="14"/>
      <c r="S65" s="4"/>
      <c r="T65" s="14"/>
      <c r="U65" s="14"/>
      <c r="V65" s="14"/>
      <c r="W65" s="14"/>
      <c r="X65" s="14"/>
      <c r="Y65" s="14"/>
      <c r="Z65" s="14"/>
      <c r="AA65" s="14"/>
      <c r="AB65" s="4"/>
      <c r="AC65" s="4"/>
      <c r="AD65" s="20"/>
    </row>
    <row r="66" spans="1:30">
      <c r="A66" s="3">
        <v>63</v>
      </c>
      <c r="B66" s="15"/>
      <c r="C66" s="15"/>
      <c r="D66" s="15"/>
      <c r="E66" s="15"/>
      <c r="F66" s="15"/>
      <c r="G66" s="15"/>
      <c r="H66" s="15"/>
      <c r="I66" s="14"/>
      <c r="J66" s="14"/>
      <c r="K66" s="4"/>
      <c r="L66" s="4"/>
      <c r="M66" s="4"/>
      <c r="N66" s="14"/>
      <c r="O66" s="14"/>
      <c r="P66" s="14"/>
      <c r="Q66" s="14"/>
      <c r="R66" s="14"/>
      <c r="S66" s="4"/>
      <c r="T66" s="14"/>
      <c r="U66" s="14"/>
      <c r="V66" s="14"/>
      <c r="W66" s="14"/>
      <c r="X66" s="14"/>
      <c r="Y66" s="14"/>
      <c r="Z66" s="14"/>
      <c r="AA66" s="14"/>
      <c r="AB66" s="4"/>
      <c r="AC66" s="4"/>
      <c r="AD66" s="20"/>
    </row>
    <row r="67" spans="1:30">
      <c r="A67" s="3">
        <v>64</v>
      </c>
      <c r="B67" s="15"/>
      <c r="C67" s="15"/>
      <c r="D67" s="15"/>
      <c r="E67" s="15"/>
      <c r="F67" s="15"/>
      <c r="G67" s="15"/>
      <c r="H67" s="15"/>
      <c r="I67" s="14"/>
      <c r="J67" s="14"/>
      <c r="K67" s="4"/>
      <c r="L67" s="4"/>
      <c r="M67" s="4"/>
      <c r="N67" s="14"/>
      <c r="O67" s="14"/>
      <c r="P67" s="14"/>
      <c r="Q67" s="14"/>
      <c r="R67" s="14"/>
      <c r="S67" s="4"/>
      <c r="T67" s="14"/>
      <c r="U67" s="14"/>
      <c r="V67" s="14"/>
      <c r="W67" s="14"/>
      <c r="X67" s="14"/>
      <c r="Y67" s="14"/>
      <c r="Z67" s="14"/>
      <c r="AA67" s="14"/>
      <c r="AB67" s="4"/>
      <c r="AC67" s="4"/>
      <c r="AD67" s="20"/>
    </row>
    <row r="68" spans="1:30">
      <c r="A68" s="142">
        <v>65</v>
      </c>
      <c r="B68" s="15"/>
      <c r="C68" s="15"/>
      <c r="D68" s="15"/>
      <c r="E68" s="15"/>
      <c r="F68" s="15"/>
      <c r="G68" s="15"/>
      <c r="H68" s="15"/>
      <c r="I68" s="14"/>
      <c r="J68" s="14"/>
      <c r="K68" s="4"/>
      <c r="L68" s="4"/>
      <c r="M68" s="4"/>
      <c r="N68" s="14"/>
      <c r="O68" s="14"/>
      <c r="P68" s="14"/>
      <c r="Q68" s="14"/>
      <c r="R68" s="14"/>
      <c r="S68" s="4"/>
      <c r="T68" s="14"/>
      <c r="U68" s="14"/>
      <c r="V68" s="14"/>
      <c r="W68" s="14"/>
      <c r="X68" s="14"/>
      <c r="Y68" s="14"/>
      <c r="Z68" s="14"/>
      <c r="AA68" s="14"/>
      <c r="AB68" s="4"/>
      <c r="AC68" s="4"/>
      <c r="AD68" s="20"/>
    </row>
    <row r="69" spans="1:30">
      <c r="A69" s="3">
        <v>66</v>
      </c>
      <c r="B69" s="15"/>
      <c r="C69" s="15"/>
      <c r="D69" s="15"/>
      <c r="E69" s="15"/>
      <c r="F69" s="15"/>
      <c r="G69" s="15"/>
      <c r="H69" s="15"/>
      <c r="I69" s="14"/>
      <c r="J69" s="14"/>
      <c r="K69" s="4"/>
      <c r="L69" s="4"/>
      <c r="M69" s="4"/>
      <c r="N69" s="14"/>
      <c r="O69" s="14"/>
      <c r="P69" s="14"/>
      <c r="Q69" s="14"/>
      <c r="R69" s="14"/>
      <c r="S69" s="4"/>
      <c r="T69" s="14"/>
      <c r="U69" s="14"/>
      <c r="V69" s="14"/>
      <c r="W69" s="14"/>
      <c r="X69" s="14"/>
      <c r="Y69" s="14"/>
      <c r="Z69" s="14"/>
      <c r="AA69" s="14"/>
      <c r="AB69" s="4"/>
      <c r="AC69" s="4"/>
      <c r="AD69" s="20"/>
    </row>
    <row r="70" spans="1:30">
      <c r="A70" s="3">
        <v>67</v>
      </c>
      <c r="B70" s="15"/>
      <c r="C70" s="15"/>
      <c r="D70" s="15"/>
      <c r="E70" s="15"/>
      <c r="F70" s="15"/>
      <c r="G70" s="15"/>
      <c r="H70" s="15"/>
      <c r="I70" s="14"/>
      <c r="J70" s="14"/>
      <c r="K70" s="4"/>
      <c r="L70" s="4"/>
      <c r="M70" s="4"/>
      <c r="N70" s="14"/>
      <c r="O70" s="14"/>
      <c r="P70" s="14"/>
      <c r="Q70" s="14"/>
      <c r="R70" s="14"/>
      <c r="S70" s="4"/>
      <c r="T70" s="14"/>
      <c r="U70" s="14"/>
      <c r="V70" s="14"/>
      <c r="W70" s="14"/>
      <c r="X70" s="14"/>
      <c r="Y70" s="14"/>
      <c r="Z70" s="14"/>
      <c r="AA70" s="14"/>
      <c r="AB70" s="4"/>
      <c r="AC70" s="4"/>
      <c r="AD70" s="20"/>
    </row>
    <row r="71" spans="1:30">
      <c r="A71" s="3">
        <v>68</v>
      </c>
      <c r="B71" s="15"/>
      <c r="C71" s="15"/>
      <c r="D71" s="15"/>
      <c r="E71" s="15"/>
      <c r="F71" s="15"/>
      <c r="G71" s="15"/>
      <c r="H71" s="15"/>
      <c r="I71" s="14"/>
      <c r="J71" s="14"/>
      <c r="K71" s="4"/>
      <c r="L71" s="4"/>
      <c r="M71" s="4"/>
      <c r="N71" s="14"/>
      <c r="O71" s="14"/>
      <c r="P71" s="14"/>
      <c r="Q71" s="14"/>
      <c r="R71" s="14"/>
      <c r="S71" s="4"/>
      <c r="T71" s="14"/>
      <c r="U71" s="14"/>
      <c r="V71" s="14"/>
      <c r="W71" s="14"/>
      <c r="X71" s="14"/>
      <c r="Y71" s="14"/>
      <c r="Z71" s="14"/>
      <c r="AA71" s="14"/>
      <c r="AB71" s="4"/>
      <c r="AC71" s="4"/>
      <c r="AD71" s="20"/>
    </row>
    <row r="72" spans="1:30">
      <c r="A72" s="3">
        <v>69</v>
      </c>
      <c r="B72" s="15"/>
      <c r="C72" s="15"/>
      <c r="D72" s="15"/>
      <c r="E72" s="15"/>
      <c r="F72" s="15"/>
      <c r="G72" s="15"/>
      <c r="H72" s="15"/>
      <c r="I72" s="14"/>
      <c r="J72" s="14"/>
      <c r="K72" s="4"/>
      <c r="L72" s="4"/>
      <c r="M72" s="4"/>
      <c r="N72" s="14"/>
      <c r="O72" s="14"/>
      <c r="P72" s="14"/>
      <c r="Q72" s="14"/>
      <c r="R72" s="14"/>
      <c r="S72" s="4"/>
      <c r="T72" s="14"/>
      <c r="U72" s="14"/>
      <c r="V72" s="14"/>
      <c r="W72" s="14"/>
      <c r="X72" s="14"/>
      <c r="Y72" s="14"/>
      <c r="Z72" s="14"/>
      <c r="AA72" s="14"/>
      <c r="AB72" s="4"/>
      <c r="AC72" s="4"/>
      <c r="AD72" s="20"/>
    </row>
    <row r="73" spans="1:30">
      <c r="A73" s="3">
        <v>70</v>
      </c>
      <c r="B73" s="15"/>
      <c r="C73" s="15"/>
      <c r="D73" s="15"/>
      <c r="E73" s="15"/>
      <c r="F73" s="15"/>
      <c r="G73" s="15"/>
      <c r="H73" s="15"/>
      <c r="I73" s="14"/>
      <c r="J73" s="14"/>
      <c r="K73" s="4"/>
      <c r="L73" s="4"/>
      <c r="M73" s="4"/>
      <c r="N73" s="14"/>
      <c r="O73" s="14"/>
      <c r="P73" s="14"/>
      <c r="Q73" s="14"/>
      <c r="R73" s="14"/>
      <c r="S73" s="4"/>
      <c r="T73" s="14"/>
      <c r="U73" s="14"/>
      <c r="V73" s="14"/>
      <c r="W73" s="14"/>
      <c r="X73" s="14"/>
      <c r="Y73" s="14"/>
      <c r="Z73" s="14"/>
      <c r="AA73" s="14"/>
      <c r="AB73" s="4"/>
      <c r="AC73" s="4"/>
      <c r="AD73" s="20"/>
    </row>
    <row r="74" spans="1:30">
      <c r="A74" s="3">
        <v>71</v>
      </c>
      <c r="B74" s="15"/>
      <c r="C74" s="15"/>
      <c r="D74" s="15"/>
      <c r="E74" s="15"/>
      <c r="F74" s="15"/>
      <c r="G74" s="15"/>
      <c r="H74" s="15"/>
      <c r="I74" s="14"/>
      <c r="J74" s="14"/>
      <c r="K74" s="4"/>
      <c r="L74" s="4"/>
      <c r="M74" s="4"/>
      <c r="N74" s="14"/>
      <c r="O74" s="14"/>
      <c r="P74" s="14"/>
      <c r="Q74" s="14"/>
      <c r="R74" s="14"/>
      <c r="S74" s="4"/>
      <c r="T74" s="14"/>
      <c r="U74" s="14"/>
      <c r="V74" s="14"/>
      <c r="W74" s="14"/>
      <c r="X74" s="14"/>
      <c r="Y74" s="14"/>
      <c r="Z74" s="14"/>
      <c r="AA74" s="14"/>
      <c r="AB74" s="4"/>
      <c r="AC74" s="4"/>
      <c r="AD74" s="20"/>
    </row>
    <row r="75" spans="1:30">
      <c r="A75" s="3">
        <v>72</v>
      </c>
      <c r="B75" s="15"/>
      <c r="C75" s="15"/>
      <c r="D75" s="15"/>
      <c r="E75" s="15"/>
      <c r="F75" s="15"/>
      <c r="G75" s="15"/>
      <c r="H75" s="15"/>
      <c r="I75" s="14"/>
      <c r="J75" s="14"/>
      <c r="K75" s="4"/>
      <c r="L75" s="4"/>
      <c r="M75" s="4"/>
      <c r="N75" s="14"/>
      <c r="O75" s="14"/>
      <c r="P75" s="14"/>
      <c r="Q75" s="14"/>
      <c r="R75" s="14"/>
      <c r="S75" s="4"/>
      <c r="T75" s="14"/>
      <c r="U75" s="14"/>
      <c r="V75" s="14"/>
      <c r="W75" s="14"/>
      <c r="X75" s="14"/>
      <c r="Y75" s="14"/>
      <c r="Z75" s="14"/>
      <c r="AA75" s="14"/>
      <c r="AB75" s="4"/>
      <c r="AC75" s="4"/>
      <c r="AD75" s="20"/>
    </row>
    <row r="76" spans="1:30">
      <c r="A76" s="142">
        <v>73</v>
      </c>
      <c r="B76" s="15"/>
      <c r="C76" s="15"/>
      <c r="D76" s="15"/>
      <c r="E76" s="15"/>
      <c r="F76" s="15"/>
      <c r="G76" s="15"/>
      <c r="H76" s="15"/>
      <c r="I76" s="14"/>
      <c r="J76" s="14"/>
      <c r="K76" s="4"/>
      <c r="L76" s="4"/>
      <c r="M76" s="4"/>
      <c r="N76" s="14"/>
      <c r="O76" s="14"/>
      <c r="P76" s="14"/>
      <c r="Q76" s="14"/>
      <c r="R76" s="14"/>
      <c r="S76" s="4"/>
      <c r="T76" s="14"/>
      <c r="U76" s="14"/>
      <c r="V76" s="14"/>
      <c r="W76" s="14"/>
      <c r="X76" s="14"/>
      <c r="Y76" s="14"/>
      <c r="Z76" s="14"/>
      <c r="AA76" s="14"/>
      <c r="AB76" s="4"/>
      <c r="AC76" s="4"/>
      <c r="AD76" s="20"/>
    </row>
    <row r="77" spans="1:30">
      <c r="A77" s="3">
        <v>74</v>
      </c>
      <c r="B77" s="15"/>
      <c r="C77" s="15"/>
      <c r="D77" s="15"/>
      <c r="E77" s="15"/>
      <c r="F77" s="15"/>
      <c r="G77" s="15"/>
      <c r="H77" s="15"/>
      <c r="I77" s="14"/>
      <c r="J77" s="14"/>
      <c r="K77" s="4"/>
      <c r="L77" s="4"/>
      <c r="M77" s="4"/>
      <c r="N77" s="14"/>
      <c r="O77" s="14"/>
      <c r="P77" s="14"/>
      <c r="Q77" s="14"/>
      <c r="R77" s="14"/>
      <c r="S77" s="4"/>
      <c r="T77" s="14"/>
      <c r="U77" s="14"/>
      <c r="V77" s="14"/>
      <c r="W77" s="14"/>
      <c r="X77" s="14"/>
      <c r="Y77" s="14"/>
      <c r="Z77" s="14"/>
      <c r="AA77" s="14"/>
      <c r="AB77" s="4"/>
      <c r="AC77" s="4"/>
      <c r="AD77" s="20"/>
    </row>
    <row r="78" spans="1:30">
      <c r="A78" s="3">
        <v>75</v>
      </c>
      <c r="B78" s="15"/>
      <c r="C78" s="15"/>
      <c r="D78" s="15"/>
      <c r="E78" s="15"/>
      <c r="F78" s="15"/>
      <c r="G78" s="15"/>
      <c r="H78" s="15"/>
      <c r="I78" s="14"/>
      <c r="J78" s="14"/>
      <c r="K78" s="4"/>
      <c r="L78" s="4"/>
      <c r="M78" s="4"/>
      <c r="N78" s="14"/>
      <c r="O78" s="14"/>
      <c r="P78" s="14"/>
      <c r="Q78" s="14"/>
      <c r="R78" s="14"/>
      <c r="S78" s="4"/>
      <c r="T78" s="14"/>
      <c r="U78" s="14"/>
      <c r="V78" s="14"/>
      <c r="W78" s="14"/>
      <c r="X78" s="14"/>
      <c r="Y78" s="14"/>
      <c r="Z78" s="14"/>
      <c r="AA78" s="14"/>
      <c r="AB78" s="4"/>
      <c r="AC78" s="4"/>
      <c r="AD78" s="20"/>
    </row>
    <row r="79" spans="1:30">
      <c r="A79" s="3">
        <v>76</v>
      </c>
      <c r="B79" s="15"/>
      <c r="C79" s="15"/>
      <c r="D79" s="15"/>
      <c r="E79" s="15"/>
      <c r="F79" s="15"/>
      <c r="G79" s="15"/>
      <c r="H79" s="15"/>
      <c r="I79" s="14"/>
      <c r="J79" s="14"/>
      <c r="K79" s="4"/>
      <c r="L79" s="4"/>
      <c r="M79" s="4"/>
      <c r="N79" s="14"/>
      <c r="O79" s="14"/>
      <c r="P79" s="14"/>
      <c r="Q79" s="14"/>
      <c r="R79" s="14"/>
      <c r="S79" s="4"/>
      <c r="T79" s="14"/>
      <c r="U79" s="14"/>
      <c r="V79" s="14"/>
      <c r="W79" s="14"/>
      <c r="X79" s="14"/>
      <c r="Y79" s="14"/>
      <c r="Z79" s="14"/>
      <c r="AA79" s="14"/>
      <c r="AB79" s="4"/>
      <c r="AC79" s="4"/>
      <c r="AD79" s="20"/>
    </row>
    <row r="80" spans="1:30">
      <c r="A80" s="3">
        <v>77</v>
      </c>
      <c r="B80" s="15"/>
      <c r="C80" s="15"/>
      <c r="D80" s="15"/>
      <c r="E80" s="15"/>
      <c r="F80" s="15"/>
      <c r="G80" s="15"/>
      <c r="H80" s="15"/>
      <c r="I80" s="14"/>
      <c r="J80" s="14"/>
      <c r="K80" s="4"/>
      <c r="L80" s="4"/>
      <c r="M80" s="4"/>
      <c r="N80" s="14"/>
      <c r="O80" s="14"/>
      <c r="P80" s="14"/>
      <c r="Q80" s="14"/>
      <c r="R80" s="14"/>
      <c r="S80" s="4"/>
      <c r="T80" s="14"/>
      <c r="U80" s="14"/>
      <c r="V80" s="14"/>
      <c r="W80" s="14"/>
      <c r="X80" s="14"/>
      <c r="Y80" s="14"/>
      <c r="Z80" s="14"/>
      <c r="AA80" s="14"/>
      <c r="AB80" s="4"/>
      <c r="AC80" s="4"/>
      <c r="AD80" s="20"/>
    </row>
    <row r="81" spans="1:30">
      <c r="A81" s="3">
        <v>78</v>
      </c>
      <c r="B81" s="15"/>
      <c r="C81" s="15"/>
      <c r="D81" s="15"/>
      <c r="E81" s="15"/>
      <c r="F81" s="15"/>
      <c r="G81" s="15"/>
      <c r="H81" s="15"/>
      <c r="I81" s="14"/>
      <c r="J81" s="14"/>
      <c r="K81" s="4"/>
      <c r="L81" s="4"/>
      <c r="M81" s="4"/>
      <c r="N81" s="14"/>
      <c r="O81" s="14"/>
      <c r="P81" s="14"/>
      <c r="Q81" s="14"/>
      <c r="R81" s="14"/>
      <c r="S81" s="4"/>
      <c r="T81" s="14"/>
      <c r="U81" s="14"/>
      <c r="V81" s="14"/>
      <c r="W81" s="14"/>
      <c r="X81" s="14"/>
      <c r="Y81" s="14"/>
      <c r="Z81" s="14"/>
      <c r="AA81" s="14"/>
      <c r="AB81" s="4"/>
      <c r="AC81" s="4"/>
      <c r="AD81" s="20"/>
    </row>
    <row r="82" spans="1:30">
      <c r="A82" s="3">
        <v>79</v>
      </c>
      <c r="B82" s="15"/>
      <c r="C82" s="15"/>
      <c r="D82" s="15"/>
      <c r="E82" s="15"/>
      <c r="F82" s="15"/>
      <c r="G82" s="15"/>
      <c r="H82" s="15"/>
      <c r="I82" s="14"/>
      <c r="J82" s="14"/>
      <c r="K82" s="4"/>
      <c r="L82" s="4"/>
      <c r="M82" s="4"/>
      <c r="N82" s="14"/>
      <c r="O82" s="14"/>
      <c r="P82" s="14"/>
      <c r="Q82" s="14"/>
      <c r="R82" s="14"/>
      <c r="S82" s="4"/>
      <c r="T82" s="14"/>
      <c r="U82" s="14"/>
      <c r="V82" s="14"/>
      <c r="W82" s="14"/>
      <c r="X82" s="14"/>
      <c r="Y82" s="14"/>
      <c r="Z82" s="14"/>
      <c r="AA82" s="14"/>
      <c r="AB82" s="4"/>
      <c r="AC82" s="4"/>
      <c r="AD82" s="20"/>
    </row>
    <row r="83" spans="1:30">
      <c r="A83" s="3">
        <v>80</v>
      </c>
      <c r="B83" s="15"/>
      <c r="C83" s="15"/>
      <c r="D83" s="15"/>
      <c r="E83" s="15"/>
      <c r="F83" s="15"/>
      <c r="G83" s="15"/>
      <c r="H83" s="15"/>
      <c r="I83" s="14"/>
      <c r="J83" s="14"/>
      <c r="K83" s="4"/>
      <c r="L83" s="4"/>
      <c r="M83" s="4"/>
      <c r="N83" s="14"/>
      <c r="O83" s="14"/>
      <c r="P83" s="14"/>
      <c r="Q83" s="14"/>
      <c r="R83" s="14"/>
      <c r="S83" s="4"/>
      <c r="T83" s="14"/>
      <c r="U83" s="14"/>
      <c r="V83" s="14"/>
      <c r="W83" s="14"/>
      <c r="X83" s="14"/>
      <c r="Y83" s="14"/>
      <c r="Z83" s="14"/>
      <c r="AA83" s="14"/>
      <c r="AB83" s="4"/>
      <c r="AC83" s="4"/>
      <c r="AD83" s="20"/>
    </row>
    <row r="84" spans="1:30">
      <c r="A84" s="142">
        <v>81</v>
      </c>
      <c r="B84" s="15"/>
      <c r="C84" s="15"/>
      <c r="D84" s="15"/>
      <c r="E84" s="15"/>
      <c r="F84" s="15"/>
      <c r="G84" s="15"/>
      <c r="H84" s="15"/>
      <c r="I84" s="14"/>
      <c r="J84" s="14"/>
      <c r="K84" s="4"/>
      <c r="L84" s="4"/>
      <c r="M84" s="4"/>
      <c r="N84" s="14"/>
      <c r="O84" s="14"/>
      <c r="P84" s="14"/>
      <c r="Q84" s="14"/>
      <c r="R84" s="14"/>
      <c r="S84" s="4"/>
      <c r="T84" s="14"/>
      <c r="U84" s="14"/>
      <c r="V84" s="14"/>
      <c r="W84" s="14"/>
      <c r="X84" s="14"/>
      <c r="Y84" s="14"/>
      <c r="Z84" s="14"/>
      <c r="AA84" s="14"/>
      <c r="AB84" s="4"/>
      <c r="AC84" s="4"/>
      <c r="AD84" s="20"/>
    </row>
    <row r="85" spans="1:30">
      <c r="A85" s="3">
        <v>82</v>
      </c>
      <c r="B85" s="15"/>
      <c r="C85" s="15"/>
      <c r="D85" s="15"/>
      <c r="E85" s="15"/>
      <c r="F85" s="15"/>
      <c r="G85" s="15"/>
      <c r="H85" s="15"/>
      <c r="I85" s="14"/>
      <c r="J85" s="14"/>
      <c r="K85" s="4"/>
      <c r="L85" s="4"/>
      <c r="M85" s="4"/>
      <c r="N85" s="14"/>
      <c r="O85" s="14"/>
      <c r="P85" s="14"/>
      <c r="Q85" s="14"/>
      <c r="R85" s="14"/>
      <c r="S85" s="4"/>
      <c r="T85" s="14"/>
      <c r="U85" s="14"/>
      <c r="V85" s="14"/>
      <c r="W85" s="14"/>
      <c r="X85" s="14"/>
      <c r="Y85" s="14"/>
      <c r="Z85" s="14"/>
      <c r="AA85" s="14"/>
      <c r="AB85" s="4"/>
      <c r="AC85" s="4"/>
      <c r="AD85" s="20"/>
    </row>
    <row r="86" spans="1:30">
      <c r="A86" s="3">
        <v>83</v>
      </c>
      <c r="B86" s="15"/>
      <c r="C86" s="15"/>
      <c r="D86" s="15"/>
      <c r="E86" s="15"/>
      <c r="F86" s="15"/>
      <c r="G86" s="15"/>
      <c r="H86" s="15"/>
      <c r="I86" s="14"/>
      <c r="J86" s="14"/>
      <c r="K86" s="4"/>
      <c r="L86" s="4"/>
      <c r="M86" s="4"/>
      <c r="N86" s="14"/>
      <c r="O86" s="14"/>
      <c r="P86" s="14"/>
      <c r="Q86" s="14"/>
      <c r="R86" s="14"/>
      <c r="S86" s="4"/>
      <c r="T86" s="14"/>
      <c r="U86" s="14"/>
      <c r="V86" s="14"/>
      <c r="W86" s="14"/>
      <c r="X86" s="14"/>
      <c r="Y86" s="14"/>
      <c r="Z86" s="14"/>
      <c r="AA86" s="14"/>
      <c r="AB86" s="4"/>
      <c r="AC86" s="4"/>
      <c r="AD86" s="20"/>
    </row>
    <row r="87" spans="1:30">
      <c r="A87" s="3">
        <v>84</v>
      </c>
      <c r="B87" s="15"/>
      <c r="C87" s="15"/>
      <c r="D87" s="15"/>
      <c r="E87" s="15"/>
      <c r="F87" s="15"/>
      <c r="G87" s="15"/>
      <c r="H87" s="15"/>
      <c r="I87" s="14"/>
      <c r="J87" s="14"/>
      <c r="K87" s="4"/>
      <c r="L87" s="4"/>
      <c r="M87" s="4"/>
      <c r="N87" s="14"/>
      <c r="O87" s="14"/>
      <c r="P87" s="14"/>
      <c r="Q87" s="14"/>
      <c r="R87" s="14"/>
      <c r="S87" s="4"/>
      <c r="T87" s="14"/>
      <c r="U87" s="14"/>
      <c r="V87" s="14"/>
      <c r="W87" s="14"/>
      <c r="X87" s="14"/>
      <c r="Y87" s="14"/>
      <c r="Z87" s="14"/>
      <c r="AA87" s="14"/>
      <c r="AB87" s="4"/>
      <c r="AC87" s="4"/>
      <c r="AD87" s="20"/>
    </row>
    <row r="88" spans="1:30">
      <c r="A88" s="3">
        <v>85</v>
      </c>
      <c r="B88" s="15"/>
      <c r="C88" s="15"/>
      <c r="D88" s="15"/>
      <c r="E88" s="15"/>
      <c r="F88" s="15"/>
      <c r="G88" s="15"/>
      <c r="H88" s="15"/>
      <c r="I88" s="14"/>
      <c r="J88" s="14"/>
      <c r="K88" s="4"/>
      <c r="L88" s="4"/>
      <c r="M88" s="4"/>
      <c r="N88" s="14"/>
      <c r="O88" s="14"/>
      <c r="P88" s="14"/>
      <c r="Q88" s="14"/>
      <c r="R88" s="14"/>
      <c r="S88" s="4"/>
      <c r="T88" s="14"/>
      <c r="U88" s="14"/>
      <c r="V88" s="14"/>
      <c r="W88" s="14"/>
      <c r="X88" s="14"/>
      <c r="Y88" s="14"/>
      <c r="Z88" s="14"/>
      <c r="AA88" s="14"/>
      <c r="AB88" s="4"/>
      <c r="AC88" s="4"/>
      <c r="AD88" s="20"/>
    </row>
    <row r="89" spans="1:30">
      <c r="A89" s="3">
        <v>86</v>
      </c>
      <c r="B89" s="15"/>
      <c r="C89" s="15"/>
      <c r="D89" s="15"/>
      <c r="E89" s="15"/>
      <c r="F89" s="15"/>
      <c r="G89" s="15"/>
      <c r="H89" s="15"/>
      <c r="I89" s="14"/>
      <c r="J89" s="14"/>
      <c r="K89" s="4"/>
      <c r="L89" s="4"/>
      <c r="M89" s="4"/>
      <c r="N89" s="14"/>
      <c r="O89" s="14"/>
      <c r="P89" s="14"/>
      <c r="Q89" s="14"/>
      <c r="R89" s="14"/>
      <c r="S89" s="4"/>
      <c r="T89" s="14"/>
      <c r="U89" s="14"/>
      <c r="V89" s="14"/>
      <c r="W89" s="14"/>
      <c r="X89" s="14"/>
      <c r="Y89" s="14"/>
      <c r="Z89" s="14"/>
      <c r="AA89" s="14"/>
      <c r="AB89" s="4"/>
      <c r="AC89" s="4"/>
      <c r="AD89" s="20"/>
    </row>
    <row r="90" spans="1:30">
      <c r="A90" s="3">
        <v>87</v>
      </c>
      <c r="B90" s="15"/>
      <c r="C90" s="15"/>
      <c r="D90" s="15"/>
      <c r="E90" s="15"/>
      <c r="F90" s="15"/>
      <c r="G90" s="15"/>
      <c r="H90" s="15"/>
      <c r="I90" s="14"/>
      <c r="J90" s="14"/>
      <c r="K90" s="4"/>
      <c r="L90" s="4"/>
      <c r="M90" s="4"/>
      <c r="N90" s="14"/>
      <c r="O90" s="14"/>
      <c r="P90" s="14"/>
      <c r="Q90" s="14"/>
      <c r="R90" s="14"/>
      <c r="S90" s="4"/>
      <c r="T90" s="14"/>
      <c r="U90" s="14"/>
      <c r="V90" s="14"/>
      <c r="W90" s="14"/>
      <c r="X90" s="14"/>
      <c r="Y90" s="14"/>
      <c r="Z90" s="14"/>
      <c r="AA90" s="14"/>
      <c r="AB90" s="4"/>
      <c r="AC90" s="4"/>
      <c r="AD90" s="20"/>
    </row>
    <row r="91" spans="1:30">
      <c r="A91" s="3">
        <v>88</v>
      </c>
      <c r="B91" s="15"/>
      <c r="C91" s="15"/>
      <c r="D91" s="15"/>
      <c r="E91" s="15"/>
      <c r="F91" s="15"/>
      <c r="G91" s="15"/>
      <c r="H91" s="15"/>
      <c r="I91" s="14"/>
      <c r="J91" s="14"/>
      <c r="K91" s="4"/>
      <c r="L91" s="4"/>
      <c r="M91" s="4"/>
      <c r="N91" s="14"/>
      <c r="O91" s="14"/>
      <c r="P91" s="14"/>
      <c r="Q91" s="14"/>
      <c r="R91" s="14"/>
      <c r="S91" s="4"/>
      <c r="T91" s="14"/>
      <c r="U91" s="14"/>
      <c r="V91" s="14"/>
      <c r="W91" s="14"/>
      <c r="X91" s="14"/>
      <c r="Y91" s="14"/>
      <c r="Z91" s="14"/>
      <c r="AA91" s="14"/>
      <c r="AB91" s="4"/>
      <c r="AC91" s="4"/>
      <c r="AD91" s="20"/>
    </row>
    <row r="92" spans="1:30">
      <c r="A92" s="142">
        <v>89</v>
      </c>
      <c r="B92" s="15"/>
      <c r="C92" s="15"/>
      <c r="D92" s="15"/>
      <c r="E92" s="15"/>
      <c r="F92" s="15"/>
      <c r="G92" s="15"/>
      <c r="H92" s="15"/>
      <c r="I92" s="14"/>
      <c r="J92" s="14"/>
      <c r="K92" s="4"/>
      <c r="L92" s="4"/>
      <c r="M92" s="4"/>
      <c r="N92" s="14"/>
      <c r="O92" s="14"/>
      <c r="P92" s="14"/>
      <c r="Q92" s="14"/>
      <c r="R92" s="14"/>
      <c r="S92" s="4"/>
      <c r="T92" s="14"/>
      <c r="U92" s="14"/>
      <c r="V92" s="14"/>
      <c r="W92" s="14"/>
      <c r="X92" s="14"/>
      <c r="Y92" s="14"/>
      <c r="Z92" s="14"/>
      <c r="AA92" s="14"/>
      <c r="AB92" s="4"/>
      <c r="AC92" s="4"/>
      <c r="AD92" s="20"/>
    </row>
    <row r="93" spans="1:30">
      <c r="A93" s="3">
        <v>90</v>
      </c>
      <c r="B93" s="15"/>
      <c r="C93" s="15"/>
      <c r="D93" s="15"/>
      <c r="E93" s="15"/>
      <c r="F93" s="15"/>
      <c r="G93" s="15"/>
      <c r="H93" s="15"/>
      <c r="I93" s="14"/>
      <c r="J93" s="14"/>
      <c r="K93" s="4"/>
      <c r="L93" s="4"/>
      <c r="M93" s="4"/>
      <c r="N93" s="14"/>
      <c r="O93" s="14"/>
      <c r="P93" s="14"/>
      <c r="Q93" s="14"/>
      <c r="R93" s="14"/>
      <c r="S93" s="4"/>
      <c r="T93" s="14"/>
      <c r="U93" s="14"/>
      <c r="V93" s="14"/>
      <c r="W93" s="14"/>
      <c r="X93" s="14"/>
      <c r="Y93" s="14"/>
      <c r="Z93" s="14"/>
      <c r="AA93" s="14"/>
      <c r="AB93" s="4"/>
      <c r="AC93" s="4"/>
      <c r="AD93" s="20"/>
    </row>
    <row r="94" spans="1:30">
      <c r="A94" s="3">
        <v>91</v>
      </c>
      <c r="B94" s="15"/>
      <c r="C94" s="15"/>
      <c r="D94" s="15"/>
      <c r="E94" s="15"/>
      <c r="F94" s="15"/>
      <c r="G94" s="15"/>
      <c r="H94" s="15"/>
      <c r="I94" s="14"/>
      <c r="J94" s="14"/>
      <c r="K94" s="4"/>
      <c r="L94" s="4"/>
      <c r="M94" s="4"/>
      <c r="N94" s="14"/>
      <c r="O94" s="14"/>
      <c r="P94" s="14"/>
      <c r="Q94" s="14"/>
      <c r="R94" s="14"/>
      <c r="S94" s="4"/>
      <c r="T94" s="14"/>
      <c r="U94" s="14"/>
      <c r="V94" s="14"/>
      <c r="W94" s="14"/>
      <c r="X94" s="14"/>
      <c r="Y94" s="14"/>
      <c r="Z94" s="14"/>
      <c r="AA94" s="14"/>
      <c r="AB94" s="4"/>
      <c r="AC94" s="4"/>
      <c r="AD94" s="20"/>
    </row>
    <row r="95" spans="1:30">
      <c r="A95" s="3">
        <v>92</v>
      </c>
      <c r="B95" s="15"/>
      <c r="C95" s="15"/>
      <c r="D95" s="15"/>
      <c r="E95" s="15"/>
      <c r="F95" s="15"/>
      <c r="G95" s="15"/>
      <c r="H95" s="15"/>
      <c r="I95" s="14"/>
      <c r="J95" s="14"/>
      <c r="K95" s="4"/>
      <c r="L95" s="4"/>
      <c r="M95" s="4"/>
      <c r="N95" s="14"/>
      <c r="O95" s="14"/>
      <c r="P95" s="14"/>
      <c r="Q95" s="14"/>
      <c r="R95" s="14"/>
      <c r="S95" s="4"/>
      <c r="T95" s="14"/>
      <c r="U95" s="14"/>
      <c r="V95" s="14"/>
      <c r="W95" s="14"/>
      <c r="X95" s="14"/>
      <c r="Y95" s="14"/>
      <c r="Z95" s="14"/>
      <c r="AA95" s="14"/>
      <c r="AB95" s="4"/>
      <c r="AC95" s="4"/>
      <c r="AD95" s="20"/>
    </row>
    <row r="96" spans="1:30">
      <c r="A96" s="3">
        <v>93</v>
      </c>
      <c r="B96" s="15"/>
      <c r="C96" s="15"/>
      <c r="D96" s="15"/>
      <c r="E96" s="15"/>
      <c r="F96" s="15"/>
      <c r="G96" s="15"/>
      <c r="H96" s="15"/>
      <c r="I96" s="14"/>
      <c r="J96" s="14"/>
      <c r="K96" s="4"/>
      <c r="L96" s="4"/>
      <c r="M96" s="4"/>
      <c r="N96" s="14"/>
      <c r="O96" s="14"/>
      <c r="P96" s="14"/>
      <c r="Q96" s="14"/>
      <c r="R96" s="14"/>
      <c r="S96" s="4"/>
      <c r="T96" s="14"/>
      <c r="U96" s="14"/>
      <c r="V96" s="14"/>
      <c r="W96" s="14"/>
      <c r="X96" s="14"/>
      <c r="Y96" s="14"/>
      <c r="Z96" s="14"/>
      <c r="AA96" s="14"/>
      <c r="AB96" s="4"/>
      <c r="AC96" s="4"/>
      <c r="AD96" s="20"/>
    </row>
    <row r="97" spans="1:30">
      <c r="A97" s="3">
        <v>94</v>
      </c>
      <c r="B97" s="15"/>
      <c r="C97" s="15"/>
      <c r="D97" s="15"/>
      <c r="E97" s="15"/>
      <c r="F97" s="15"/>
      <c r="G97" s="15"/>
      <c r="H97" s="15"/>
      <c r="I97" s="14"/>
      <c r="J97" s="14"/>
      <c r="K97" s="4"/>
      <c r="L97" s="4"/>
      <c r="M97" s="4"/>
      <c r="N97" s="14"/>
      <c r="O97" s="14"/>
      <c r="P97" s="14"/>
      <c r="Q97" s="14"/>
      <c r="R97" s="14"/>
      <c r="S97" s="4"/>
      <c r="T97" s="14"/>
      <c r="U97" s="14"/>
      <c r="V97" s="14"/>
      <c r="W97" s="14"/>
      <c r="X97" s="14"/>
      <c r="Y97" s="14"/>
      <c r="Z97" s="14"/>
      <c r="AA97" s="14"/>
      <c r="AB97" s="4"/>
      <c r="AC97" s="4"/>
      <c r="AD97" s="20"/>
    </row>
    <row r="98" spans="1:30">
      <c r="A98" s="3">
        <v>95</v>
      </c>
      <c r="B98" s="15"/>
      <c r="C98" s="15"/>
      <c r="D98" s="15"/>
      <c r="E98" s="15"/>
      <c r="F98" s="15"/>
      <c r="G98" s="15"/>
      <c r="H98" s="15"/>
      <c r="I98" s="14"/>
      <c r="J98" s="14"/>
      <c r="K98" s="4"/>
      <c r="L98" s="4"/>
      <c r="M98" s="4"/>
      <c r="N98" s="14"/>
      <c r="O98" s="14"/>
      <c r="P98" s="14"/>
      <c r="Q98" s="14"/>
      <c r="R98" s="14"/>
      <c r="S98" s="4"/>
      <c r="T98" s="14"/>
      <c r="U98" s="14"/>
      <c r="V98" s="14"/>
      <c r="W98" s="14"/>
      <c r="X98" s="14"/>
      <c r="Y98" s="14"/>
      <c r="Z98" s="14"/>
      <c r="AA98" s="14"/>
      <c r="AB98" s="4"/>
      <c r="AC98" s="4"/>
      <c r="AD98" s="20"/>
    </row>
    <row r="99" spans="1:30">
      <c r="A99" s="3">
        <v>96</v>
      </c>
      <c r="B99" s="15"/>
      <c r="C99" s="15"/>
      <c r="D99" s="15"/>
      <c r="E99" s="15"/>
      <c r="F99" s="15"/>
      <c r="G99" s="15"/>
      <c r="H99" s="15"/>
      <c r="I99" s="14"/>
      <c r="J99" s="14"/>
      <c r="K99" s="4"/>
      <c r="L99" s="4"/>
      <c r="M99" s="4"/>
      <c r="N99" s="14"/>
      <c r="O99" s="14"/>
      <c r="P99" s="14"/>
      <c r="Q99" s="14"/>
      <c r="R99" s="14"/>
      <c r="S99" s="4"/>
      <c r="T99" s="14"/>
      <c r="U99" s="14"/>
      <c r="V99" s="14"/>
      <c r="W99" s="14"/>
      <c r="X99" s="14"/>
      <c r="Y99" s="14"/>
      <c r="Z99" s="14"/>
      <c r="AA99" s="14"/>
      <c r="AB99" s="4"/>
      <c r="AC99" s="4"/>
      <c r="AD99" s="20"/>
    </row>
    <row r="100" spans="1:30">
      <c r="A100" s="142">
        <v>97</v>
      </c>
      <c r="B100" s="15"/>
      <c r="C100" s="15"/>
      <c r="D100" s="15"/>
      <c r="E100" s="15"/>
      <c r="F100" s="15"/>
      <c r="G100" s="15"/>
      <c r="H100" s="15"/>
      <c r="I100" s="14"/>
      <c r="J100" s="14"/>
      <c r="K100" s="4"/>
      <c r="L100" s="4"/>
      <c r="M100" s="4"/>
      <c r="N100" s="14"/>
      <c r="O100" s="14"/>
      <c r="P100" s="14"/>
      <c r="Q100" s="14"/>
      <c r="R100" s="14"/>
      <c r="S100" s="4"/>
      <c r="T100" s="14"/>
      <c r="U100" s="14"/>
      <c r="V100" s="14"/>
      <c r="W100" s="14"/>
      <c r="X100" s="14"/>
      <c r="Y100" s="14"/>
      <c r="Z100" s="14"/>
      <c r="AA100" s="14"/>
      <c r="AB100" s="4"/>
      <c r="AC100" s="4"/>
      <c r="AD100" s="20"/>
    </row>
    <row r="101" spans="1:30">
      <c r="A101" s="3">
        <v>98</v>
      </c>
      <c r="B101" s="15"/>
      <c r="C101" s="15"/>
      <c r="D101" s="15"/>
      <c r="E101" s="15"/>
      <c r="F101" s="15"/>
      <c r="G101" s="15"/>
      <c r="H101" s="15"/>
      <c r="I101" s="14"/>
      <c r="J101" s="14"/>
      <c r="K101" s="4"/>
      <c r="L101" s="4"/>
      <c r="M101" s="4"/>
      <c r="N101" s="14"/>
      <c r="O101" s="14"/>
      <c r="P101" s="14"/>
      <c r="Q101" s="14"/>
      <c r="R101" s="14"/>
      <c r="S101" s="4"/>
      <c r="T101" s="14"/>
      <c r="U101" s="14"/>
      <c r="V101" s="14"/>
      <c r="W101" s="14"/>
      <c r="X101" s="14"/>
      <c r="Y101" s="14"/>
      <c r="Z101" s="14"/>
      <c r="AA101" s="14"/>
      <c r="AB101" s="4"/>
      <c r="AC101" s="4"/>
      <c r="AD101" s="20"/>
    </row>
    <row r="102" spans="1:30">
      <c r="A102" s="3">
        <v>99</v>
      </c>
      <c r="B102" s="15"/>
      <c r="C102" s="15"/>
      <c r="D102" s="15"/>
      <c r="E102" s="15"/>
      <c r="F102" s="15"/>
      <c r="G102" s="15"/>
      <c r="H102" s="15"/>
      <c r="I102" s="14"/>
      <c r="J102" s="14"/>
      <c r="K102" s="4"/>
      <c r="L102" s="4"/>
      <c r="M102" s="4"/>
      <c r="N102" s="14"/>
      <c r="O102" s="14"/>
      <c r="P102" s="14"/>
      <c r="Q102" s="14"/>
      <c r="R102" s="14"/>
      <c r="S102" s="4"/>
      <c r="T102" s="14"/>
      <c r="U102" s="14"/>
      <c r="V102" s="14"/>
      <c r="W102" s="14"/>
      <c r="X102" s="14"/>
      <c r="Y102" s="14"/>
      <c r="Z102" s="14"/>
      <c r="AA102" s="14"/>
      <c r="AB102" s="4"/>
      <c r="AC102" s="4"/>
      <c r="AD102" s="20"/>
    </row>
    <row r="103" spans="1:30">
      <c r="A103" s="3">
        <v>100</v>
      </c>
      <c r="B103" s="15"/>
      <c r="C103" s="15"/>
      <c r="D103" s="15"/>
      <c r="E103" s="15"/>
      <c r="F103" s="15"/>
      <c r="G103" s="15"/>
      <c r="H103" s="15"/>
      <c r="I103" s="14"/>
      <c r="J103" s="14"/>
      <c r="K103" s="4"/>
      <c r="L103" s="4"/>
      <c r="M103" s="4"/>
      <c r="N103" s="14"/>
      <c r="O103" s="14"/>
      <c r="P103" s="14"/>
      <c r="Q103" s="14"/>
      <c r="R103" s="14"/>
      <c r="S103" s="4"/>
      <c r="T103" s="14"/>
      <c r="U103" s="14"/>
      <c r="V103" s="14"/>
      <c r="W103" s="14"/>
      <c r="X103" s="14"/>
      <c r="Y103" s="14"/>
      <c r="Z103" s="14"/>
      <c r="AA103" s="14"/>
      <c r="AB103" s="4"/>
      <c r="AC103" s="4"/>
      <c r="AD103" s="20"/>
    </row>
  </sheetData>
  <mergeCells count="24">
    <mergeCell ref="C1:C2"/>
    <mergeCell ref="B1:B2"/>
    <mergeCell ref="T1:AA1"/>
    <mergeCell ref="Z2:AA2"/>
    <mergeCell ref="X2:Y2"/>
    <mergeCell ref="V2:W2"/>
    <mergeCell ref="T2:U2"/>
    <mergeCell ref="R1:R2"/>
    <mergeCell ref="K1:K2"/>
    <mergeCell ref="D1:D2"/>
    <mergeCell ref="E1:E2"/>
    <mergeCell ref="F1:F2"/>
    <mergeCell ref="G1:G2"/>
    <mergeCell ref="H1:H2"/>
    <mergeCell ref="AD1:AD2"/>
    <mergeCell ref="S1:S2"/>
    <mergeCell ref="J1:J2"/>
    <mergeCell ref="I1:I2"/>
    <mergeCell ref="L1:L2"/>
    <mergeCell ref="P1:Q1"/>
    <mergeCell ref="M1:M2"/>
    <mergeCell ref="N1:O1"/>
    <mergeCell ref="AB1:AB2"/>
    <mergeCell ref="AC1:A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95B5-5FB4-46BD-A306-C83ED86C0ED3}">
  <sheetPr filterMode="1">
    <tabColor rgb="FFFFFF00"/>
  </sheetPr>
  <dimension ref="A1:CP40"/>
  <sheetViews>
    <sheetView zoomScale="70" zoomScaleNormal="70" workbookViewId="0">
      <selection activeCell="M44" sqref="M44"/>
    </sheetView>
  </sheetViews>
  <sheetFormatPr baseColWidth="10" defaultColWidth="16.7109375" defaultRowHeight="15" outlineLevelCol="2"/>
  <cols>
    <col min="1" max="1" width="16.7109375" style="1"/>
    <col min="2" max="2" width="3" style="10" bestFit="1" customWidth="1" outlineLevel="1"/>
    <col min="3" max="3" width="2.28515625" style="10" bestFit="1" customWidth="1"/>
    <col min="4" max="4" width="9.85546875" style="10" bestFit="1" customWidth="1" outlineLevel="1"/>
    <col min="5" max="5" width="11.5703125" style="10" bestFit="1" customWidth="1" outlineLevel="1"/>
    <col min="6" max="6" width="17.85546875" style="10" bestFit="1" customWidth="1" outlineLevel="1"/>
    <col min="7" max="7" width="21.140625" style="1" customWidth="1"/>
    <col min="8" max="8" width="0" style="1" hidden="1" customWidth="1"/>
    <col min="9" max="9" width="7.28515625" style="1" bestFit="1" customWidth="1" outlineLevel="1"/>
    <col min="10" max="10" width="8.28515625" style="1" bestFit="1" customWidth="1" outlineLevel="1"/>
    <col min="11" max="11" width="8.7109375" style="1" bestFit="1" customWidth="1" outlineLevel="1"/>
    <col min="12" max="12" width="0" style="1" hidden="1" customWidth="1"/>
    <col min="13" max="13" width="11.140625" style="1" bestFit="1" customWidth="1" outlineLevel="1"/>
    <col min="14" max="14" width="12.28515625" style="1" bestFit="1" customWidth="1" outlineLevel="1"/>
    <col min="15" max="15" width="8.28515625" style="1" bestFit="1" customWidth="1" outlineLevel="1"/>
    <col min="16" max="16" width="6" style="1" bestFit="1" customWidth="1" outlineLevel="1"/>
    <col min="17" max="17" width="10" style="1" bestFit="1" customWidth="1" outlineLevel="1"/>
    <col min="18" max="18" width="14.7109375" style="1" bestFit="1" customWidth="1" outlineLevel="1"/>
    <col min="19" max="19" width="13.140625" style="1" bestFit="1" customWidth="1" outlineLevel="1"/>
    <col min="20" max="20" width="0" style="1" hidden="1" customWidth="1"/>
    <col min="21" max="21" width="7.28515625" style="1" bestFit="1" customWidth="1" outlineLevel="1"/>
    <col min="22" max="22" width="9.85546875" style="1" bestFit="1" customWidth="1" outlineLevel="1"/>
    <col min="23" max="23" width="0" style="1" hidden="1" customWidth="1"/>
    <col min="24" max="24" width="6.42578125" style="1" bestFit="1" customWidth="1" outlineLevel="1"/>
    <col min="25" max="25" width="7.140625" style="1" bestFit="1" customWidth="1" outlineLevel="1"/>
    <col min="26" max="26" width="9.28515625" style="1" bestFit="1" customWidth="1" outlineLevel="1"/>
    <col min="27" max="27" width="7.5703125" style="1" bestFit="1" customWidth="1" outlineLevel="1"/>
    <col min="28" max="28" width="8" style="1" bestFit="1" customWidth="1" outlineLevel="1"/>
    <col min="29" max="29" width="7.28515625" style="1" bestFit="1" customWidth="1" outlineLevel="1"/>
    <col min="30" max="30" width="3.42578125" style="1" bestFit="1" customWidth="1" outlineLevel="1"/>
    <col min="31" max="31" width="3.5703125" style="1" bestFit="1" customWidth="1" outlineLevel="1"/>
    <col min="32" max="32" width="3.42578125" style="1" bestFit="1" customWidth="1" outlineLevel="1"/>
    <col min="33" max="33" width="16.7109375" style="1" outlineLevel="1"/>
    <col min="34" max="34" width="7.140625" style="1" bestFit="1" customWidth="1" outlineLevel="1"/>
    <col min="35" max="35" width="10.28515625" style="1" bestFit="1" customWidth="1" outlineLevel="1"/>
    <col min="36" max="38" width="6.7109375" style="1" customWidth="1" outlineLevel="1"/>
    <col min="39" max="39" width="3.42578125" style="1" bestFit="1" customWidth="1" outlineLevel="1"/>
    <col min="40" max="40" width="3.5703125" style="1" bestFit="1" customWidth="1" outlineLevel="1"/>
    <col min="41" max="41" width="0" style="1" hidden="1" customWidth="1"/>
    <col min="42" max="42" width="11.7109375" style="1" bestFit="1" customWidth="1" outlineLevel="1"/>
    <col min="43" max="43" width="12.28515625" style="1" bestFit="1" customWidth="1" outlineLevel="1"/>
    <col min="44" max="44" width="13.7109375" style="1" bestFit="1" customWidth="1" outlineLevel="1"/>
    <col min="45" max="45" width="12.28515625" style="1" bestFit="1" customWidth="1" outlineLevel="1"/>
    <col min="46" max="46" width="11.28515625" style="1" bestFit="1" customWidth="1" outlineLevel="1"/>
    <col min="47" max="47" width="11.140625" style="1" bestFit="1" customWidth="1" outlineLevel="1"/>
    <col min="48" max="48" width="13.85546875" style="1" bestFit="1" customWidth="1" outlineLevel="1"/>
    <col min="49" max="49" width="4.42578125" style="1" bestFit="1" customWidth="1" outlineLevel="1"/>
    <col min="50" max="50" width="11.28515625" style="1" bestFit="1" customWidth="1" outlineLevel="1"/>
    <col min="51" max="51" width="0" style="1" hidden="1" customWidth="1"/>
    <col min="52" max="52" width="19.7109375" style="1" customWidth="1" outlineLevel="2"/>
    <col min="53" max="53" width="0" style="1" hidden="1" customWidth="1"/>
    <col min="54" max="54" width="9.7109375" style="1" bestFit="1" customWidth="1" outlineLevel="1"/>
    <col min="55" max="55" width="13.28515625" style="1" bestFit="1" customWidth="1" outlineLevel="1"/>
    <col min="56" max="56" width="12.140625" style="1" bestFit="1" customWidth="1" outlineLevel="1"/>
    <col min="57" max="57" width="13.5703125" style="1" bestFit="1" customWidth="1" outlineLevel="1"/>
    <col min="58" max="58" width="10.85546875" style="1" bestFit="1" customWidth="1" outlineLevel="1"/>
    <col min="59" max="59" width="0" style="1" hidden="1" customWidth="1"/>
    <col min="60" max="60" width="12.28515625" style="1" bestFit="1" customWidth="1" outlineLevel="1"/>
    <col min="61" max="61" width="14.140625" style="1" bestFit="1" customWidth="1" outlineLevel="1"/>
    <col min="62" max="62" width="9.85546875" style="1" bestFit="1" customWidth="1" outlineLevel="1"/>
    <col min="63" max="63" width="10.28515625" style="1" bestFit="1" customWidth="1" outlineLevel="1"/>
    <col min="64" max="64" width="8.85546875" style="1" bestFit="1" customWidth="1" outlineLevel="1"/>
    <col min="65" max="65" width="14.5703125" style="1" bestFit="1" customWidth="1" outlineLevel="1"/>
    <col min="66" max="66" width="11.28515625" style="1" bestFit="1" customWidth="1" outlineLevel="1"/>
    <col min="67" max="67" width="0" style="1" hidden="1" customWidth="1"/>
    <col min="68" max="68" width="6" style="1" bestFit="1" customWidth="1" outlineLevel="1"/>
    <col min="69" max="69" width="11.7109375" style="1" bestFit="1" customWidth="1" outlineLevel="1"/>
    <col min="70" max="70" width="14.140625" style="1" bestFit="1" customWidth="1" outlineLevel="1"/>
    <col min="71" max="71" width="10.28515625" style="1" bestFit="1" customWidth="1" outlineLevel="1"/>
    <col min="72" max="72" width="14.5703125" style="1" bestFit="1" customWidth="1" outlineLevel="1"/>
    <col min="73" max="73" width="11.28515625" style="1" bestFit="1" customWidth="1" outlineLevel="1"/>
    <col min="74" max="74" width="0" style="1" hidden="1" customWidth="1"/>
    <col min="75" max="75" width="11.7109375" style="1" bestFit="1" customWidth="1" outlineLevel="1"/>
    <col min="76" max="76" width="13.42578125" style="1" bestFit="1" customWidth="1" outlineLevel="1"/>
    <col min="77" max="77" width="9.85546875" style="1" bestFit="1" customWidth="1" outlineLevel="1"/>
    <col min="78" max="78" width="10.28515625" style="1" bestFit="1" customWidth="1" outlineLevel="1"/>
    <col min="79" max="79" width="14.5703125" style="1" bestFit="1" customWidth="1" outlineLevel="1"/>
    <col min="80" max="81" width="11.28515625" style="1" bestFit="1" customWidth="1" outlineLevel="1"/>
    <col min="82" max="82" width="0" style="1" hidden="1" customWidth="1"/>
    <col min="83" max="83" width="12.28515625" style="1" bestFit="1" customWidth="1" outlineLevel="1"/>
    <col min="84" max="84" width="11.28515625" style="1" bestFit="1" customWidth="1" outlineLevel="1"/>
    <col min="85" max="85" width="14" style="1" bestFit="1" customWidth="1" outlineLevel="1"/>
    <col min="86" max="86" width="9.85546875" style="1" bestFit="1" customWidth="1" outlineLevel="1"/>
    <col min="87" max="87" width="0" style="1" hidden="1" customWidth="1"/>
    <col min="88" max="88" width="9.85546875" style="1" bestFit="1" customWidth="1" outlineLevel="1"/>
    <col min="89" max="89" width="9.42578125" style="1" bestFit="1" customWidth="1" outlineLevel="1"/>
    <col min="90" max="90" width="11.28515625" style="1" bestFit="1" customWidth="1" outlineLevel="1"/>
    <col min="91" max="91" width="10.28515625" style="1" bestFit="1" customWidth="1" outlineLevel="1"/>
    <col min="92" max="92" width="23.42578125" style="1" customWidth="1" outlineLevel="1"/>
    <col min="93" max="93" width="17.5703125" style="1" bestFit="1" customWidth="1" outlineLevel="1"/>
    <col min="94" max="16384" width="16.7109375" style="1"/>
  </cols>
  <sheetData>
    <row r="1" spans="2:94">
      <c r="D1" s="29"/>
      <c r="E1" s="29"/>
      <c r="F1" s="29"/>
      <c r="G1" s="29"/>
      <c r="I1" s="426" t="s">
        <v>147</v>
      </c>
      <c r="J1" s="426"/>
      <c r="K1" s="426"/>
      <c r="M1" s="427" t="s">
        <v>6</v>
      </c>
      <c r="N1" s="427"/>
      <c r="O1" s="427"/>
      <c r="P1" s="427"/>
      <c r="Q1" s="427"/>
      <c r="R1" s="427"/>
      <c r="S1" s="427"/>
      <c r="U1" s="51"/>
      <c r="V1" s="51"/>
      <c r="X1" s="432" t="s">
        <v>128</v>
      </c>
      <c r="Y1" s="432"/>
      <c r="Z1" s="432"/>
      <c r="AA1" s="432"/>
      <c r="AB1" s="432"/>
      <c r="AC1" s="432"/>
      <c r="AD1" s="432"/>
      <c r="AE1" s="432"/>
      <c r="AF1" s="432"/>
      <c r="AG1" s="432"/>
      <c r="AH1" s="432"/>
      <c r="AI1" s="432"/>
      <c r="AJ1" s="432"/>
      <c r="AK1" s="432"/>
      <c r="AL1" s="432"/>
      <c r="AM1" s="432"/>
      <c r="AN1" s="432"/>
      <c r="AP1" s="431" t="s">
        <v>143</v>
      </c>
      <c r="AQ1" s="431"/>
      <c r="AR1" s="431"/>
      <c r="AS1" s="431"/>
      <c r="AT1" s="431"/>
      <c r="AU1" s="431"/>
      <c r="AV1" s="431"/>
      <c r="AW1" s="431"/>
      <c r="AX1" s="431"/>
      <c r="AZ1" s="26"/>
      <c r="BB1" s="422" t="s">
        <v>148</v>
      </c>
      <c r="BC1" s="422"/>
      <c r="BD1" s="422"/>
      <c r="BE1" s="422"/>
      <c r="BF1" s="42"/>
      <c r="BH1" s="34"/>
      <c r="BI1" s="34"/>
      <c r="BJ1" s="150">
        <v>0.12</v>
      </c>
      <c r="BK1" s="23">
        <v>15</v>
      </c>
      <c r="BL1" s="423" t="s">
        <v>140</v>
      </c>
      <c r="BM1" s="423"/>
      <c r="BN1" s="423"/>
      <c r="BP1" s="424" t="s">
        <v>119</v>
      </c>
      <c r="BQ1" s="424"/>
      <c r="BR1" s="424"/>
      <c r="BS1" s="424"/>
      <c r="BT1" s="424"/>
      <c r="BU1" s="424"/>
      <c r="BW1" s="35"/>
      <c r="BX1" s="35"/>
      <c r="BY1" s="149">
        <v>6.8000000000000005E-2</v>
      </c>
      <c r="BZ1" s="30" t="s">
        <v>124</v>
      </c>
      <c r="CA1" s="30"/>
      <c r="CB1" s="148">
        <v>11</v>
      </c>
      <c r="CC1" s="35"/>
      <c r="CE1" s="428" t="s">
        <v>135</v>
      </c>
      <c r="CF1" s="428"/>
      <c r="CG1" s="49"/>
      <c r="CH1" s="49"/>
      <c r="CJ1" s="147">
        <v>6.8000000000000005E-2</v>
      </c>
      <c r="CK1" s="425" t="s">
        <v>122</v>
      </c>
      <c r="CL1" s="425"/>
      <c r="CM1" s="425"/>
      <c r="CN1" s="425"/>
      <c r="CO1" s="425"/>
      <c r="CP1" s="439" t="s">
        <v>694</v>
      </c>
    </row>
    <row r="2" spans="2:94" s="47" customFormat="1">
      <c r="B2" s="36"/>
      <c r="C2" s="36"/>
      <c r="D2" s="29" t="s">
        <v>96</v>
      </c>
      <c r="E2" s="29" t="s">
        <v>97</v>
      </c>
      <c r="F2" s="29" t="s">
        <v>71</v>
      </c>
      <c r="G2" s="29" t="s">
        <v>69</v>
      </c>
      <c r="H2" s="37"/>
      <c r="I2" s="38" t="s">
        <v>2</v>
      </c>
      <c r="J2" s="38" t="s">
        <v>3</v>
      </c>
      <c r="K2" s="38" t="s">
        <v>4</v>
      </c>
      <c r="L2" s="37"/>
      <c r="M2" s="39" t="s">
        <v>83</v>
      </c>
      <c r="N2" s="39" t="s">
        <v>6</v>
      </c>
      <c r="O2" s="40" t="s">
        <v>120</v>
      </c>
      <c r="P2" s="41" t="s">
        <v>121</v>
      </c>
      <c r="Q2" s="41" t="s">
        <v>115</v>
      </c>
      <c r="R2" s="39" t="s">
        <v>130</v>
      </c>
      <c r="S2" s="39" t="s">
        <v>95</v>
      </c>
      <c r="T2" s="37"/>
      <c r="U2" s="146" t="s">
        <v>554</v>
      </c>
      <c r="V2" s="52" t="s">
        <v>145</v>
      </c>
      <c r="W2" s="37"/>
      <c r="X2" s="33" t="s">
        <v>110</v>
      </c>
      <c r="Y2" s="33" t="s">
        <v>5</v>
      </c>
      <c r="Z2" s="33" t="s">
        <v>84</v>
      </c>
      <c r="AA2" s="33" t="s">
        <v>85</v>
      </c>
      <c r="AB2" s="33" t="s">
        <v>553</v>
      </c>
      <c r="AC2" s="33" t="s">
        <v>552</v>
      </c>
      <c r="AD2" s="432" t="s">
        <v>86</v>
      </c>
      <c r="AE2" s="432"/>
      <c r="AF2" s="432" t="s">
        <v>87</v>
      </c>
      <c r="AG2" s="432"/>
      <c r="AH2" s="33" t="s">
        <v>551</v>
      </c>
      <c r="AI2" s="32" t="s">
        <v>144</v>
      </c>
      <c r="AJ2" s="33" t="s">
        <v>550</v>
      </c>
      <c r="AK2" s="33" t="s">
        <v>323</v>
      </c>
      <c r="AL2" s="33" t="s">
        <v>6</v>
      </c>
      <c r="AM2" s="432" t="s">
        <v>88</v>
      </c>
      <c r="AN2" s="432"/>
      <c r="AO2" s="37"/>
      <c r="AP2" s="24" t="s">
        <v>113</v>
      </c>
      <c r="AQ2" s="24" t="s">
        <v>115</v>
      </c>
      <c r="AR2" s="24" t="s">
        <v>150</v>
      </c>
      <c r="AS2" s="24" t="s">
        <v>115</v>
      </c>
      <c r="AT2" s="24" t="s">
        <v>114</v>
      </c>
      <c r="AU2" s="24" t="s">
        <v>142</v>
      </c>
      <c r="AV2" s="24" t="s">
        <v>151</v>
      </c>
      <c r="AW2" s="431" t="s">
        <v>116</v>
      </c>
      <c r="AX2" s="431"/>
      <c r="AY2" s="37"/>
      <c r="AZ2" s="25" t="s">
        <v>129</v>
      </c>
      <c r="BA2" s="37"/>
      <c r="BB2" s="42" t="s">
        <v>117</v>
      </c>
      <c r="BC2" s="42" t="s">
        <v>118</v>
      </c>
      <c r="BD2" s="42" t="s">
        <v>156</v>
      </c>
      <c r="BE2" s="42" t="s">
        <v>155</v>
      </c>
      <c r="BF2" s="42" t="s">
        <v>127</v>
      </c>
      <c r="BG2" s="37"/>
      <c r="BH2" s="43" t="s">
        <v>115</v>
      </c>
      <c r="BI2" s="43" t="s">
        <v>153</v>
      </c>
      <c r="BJ2" s="43" t="s">
        <v>146</v>
      </c>
      <c r="BK2" s="43" t="s">
        <v>126</v>
      </c>
      <c r="BL2" s="44" t="s">
        <v>142</v>
      </c>
      <c r="BM2" s="44" t="s">
        <v>152</v>
      </c>
      <c r="BN2" s="43" t="s">
        <v>127</v>
      </c>
      <c r="BO2" s="37"/>
      <c r="BP2" s="63" t="s">
        <v>149</v>
      </c>
      <c r="BQ2" s="45" t="s">
        <v>113</v>
      </c>
      <c r="BR2" s="45" t="s">
        <v>136</v>
      </c>
      <c r="BS2" s="45" t="s">
        <v>125</v>
      </c>
      <c r="BT2" s="45" t="s">
        <v>136</v>
      </c>
      <c r="BU2" s="45" t="s">
        <v>127</v>
      </c>
      <c r="BV2" s="37"/>
      <c r="BW2" s="30" t="s">
        <v>113</v>
      </c>
      <c r="BX2" s="30" t="s">
        <v>136</v>
      </c>
      <c r="BY2" s="30" t="s">
        <v>146</v>
      </c>
      <c r="BZ2" s="30" t="s">
        <v>125</v>
      </c>
      <c r="CA2" s="30" t="s">
        <v>136</v>
      </c>
      <c r="CB2" s="30" t="s">
        <v>114</v>
      </c>
      <c r="CC2" s="30" t="s">
        <v>127</v>
      </c>
      <c r="CD2" s="37"/>
      <c r="CE2" s="49" t="s">
        <v>127</v>
      </c>
      <c r="CF2" s="49" t="s">
        <v>154</v>
      </c>
      <c r="CG2" s="49" t="s">
        <v>157</v>
      </c>
      <c r="CH2" s="49" t="s">
        <v>146</v>
      </c>
      <c r="CI2" s="37"/>
      <c r="CJ2" s="46" t="s">
        <v>146</v>
      </c>
      <c r="CK2" s="46" t="s">
        <v>131</v>
      </c>
      <c r="CL2" s="46" t="s">
        <v>114</v>
      </c>
      <c r="CM2" s="46" t="s">
        <v>126</v>
      </c>
      <c r="CN2" s="46" t="s">
        <v>127</v>
      </c>
      <c r="CO2" s="31" t="s">
        <v>123</v>
      </c>
      <c r="CP2" s="439"/>
    </row>
    <row r="3" spans="2:94" hidden="1">
      <c r="B3" s="11">
        <v>1</v>
      </c>
      <c r="C3" s="48" t="s">
        <v>107</v>
      </c>
      <c r="D3" s="27" t="s">
        <v>160</v>
      </c>
      <c r="E3" s="27" t="s">
        <v>172</v>
      </c>
      <c r="F3" s="27" t="s">
        <v>547</v>
      </c>
      <c r="G3" s="28" t="s">
        <v>549</v>
      </c>
      <c r="I3" s="14" t="s">
        <v>111</v>
      </c>
      <c r="J3" s="14">
        <v>4</v>
      </c>
      <c r="K3" s="14" t="s">
        <v>112</v>
      </c>
      <c r="M3" s="19">
        <v>88</v>
      </c>
      <c r="N3" s="16">
        <v>4782888</v>
      </c>
      <c r="O3" s="50" t="s">
        <v>107</v>
      </c>
      <c r="P3" s="53">
        <f t="shared" ref="P3:P29" si="0">Q3/N3</f>
        <v>2.0907869889489363E-2</v>
      </c>
      <c r="Q3" s="16">
        <v>100000</v>
      </c>
      <c r="R3" s="54">
        <f t="shared" ref="R3:R29" si="1">IF(O3="No",N3,N3-Q3)</f>
        <v>4682888</v>
      </c>
      <c r="S3" s="54">
        <f t="shared" ref="S3:S29" si="2">R3/M3</f>
        <v>53214.63636363636</v>
      </c>
      <c r="U3" s="64" t="s">
        <v>108</v>
      </c>
      <c r="V3" s="64" t="s">
        <v>108</v>
      </c>
      <c r="X3" s="14">
        <v>2</v>
      </c>
      <c r="Y3" s="21" t="s">
        <v>108</v>
      </c>
      <c r="Z3" s="14">
        <v>2</v>
      </c>
      <c r="AA3" s="21" t="s">
        <v>107</v>
      </c>
      <c r="AB3" s="21" t="s">
        <v>107</v>
      </c>
      <c r="AC3" s="21" t="s">
        <v>107</v>
      </c>
      <c r="AD3" s="21" t="s">
        <v>107</v>
      </c>
      <c r="AE3" s="19">
        <v>2.34</v>
      </c>
      <c r="AF3" s="21" t="s">
        <v>107</v>
      </c>
      <c r="AG3" s="19"/>
      <c r="AH3" s="21" t="s">
        <v>107</v>
      </c>
      <c r="AI3" s="21" t="s">
        <v>108</v>
      </c>
      <c r="AJ3" s="14">
        <v>2</v>
      </c>
      <c r="AK3" s="21" t="s">
        <v>108</v>
      </c>
      <c r="AL3" s="19"/>
      <c r="AM3" s="21" t="s">
        <v>107</v>
      </c>
      <c r="AN3" s="19">
        <v>1.23</v>
      </c>
      <c r="AP3" s="17">
        <v>0.1</v>
      </c>
      <c r="AQ3" s="54">
        <f t="shared" ref="AQ3:AQ29" si="3">N3*AP3</f>
        <v>478288.80000000005</v>
      </c>
      <c r="AR3" s="17">
        <v>0.1</v>
      </c>
      <c r="AS3" s="54">
        <f t="shared" ref="AS3:AS29" si="4">AR3*N3</f>
        <v>478288.80000000005</v>
      </c>
      <c r="AT3" s="18">
        <v>21</v>
      </c>
      <c r="AU3" s="54">
        <f t="shared" ref="AU3:AU29" si="5">AS3/AT3</f>
        <v>22775.657142857144</v>
      </c>
      <c r="AV3" s="54">
        <f t="shared" ref="AV3:AV29" si="6">AQ3+AS3</f>
        <v>956577.60000000009</v>
      </c>
      <c r="AW3" s="55">
        <f t="shared" ref="AW3:AW29" si="7">1-AP3-AR3</f>
        <v>0.8</v>
      </c>
      <c r="AX3" s="54">
        <f t="shared" ref="AX3:AX29" si="8">N3-AQ3-(AT3*AU3)</f>
        <v>3826310.4000000004</v>
      </c>
      <c r="AZ3" s="22">
        <v>45597</v>
      </c>
      <c r="BB3" s="54">
        <f t="shared" ref="BB3:BB29" si="9">N3*0.03</f>
        <v>143486.63999999998</v>
      </c>
      <c r="BC3" s="54">
        <f t="shared" ref="BC3:BC29" si="10">N3*0.02</f>
        <v>95657.76</v>
      </c>
      <c r="BD3" s="16">
        <v>300000</v>
      </c>
      <c r="BE3" s="16">
        <v>150000</v>
      </c>
      <c r="BF3" s="54">
        <f t="shared" ref="BF3:BF29" si="11">BB3+BC3+BD3+BE3</f>
        <v>689144.39999999991</v>
      </c>
      <c r="BH3" s="54">
        <f t="shared" ref="BH3:BH29" si="12">AX3</f>
        <v>3826310.4000000004</v>
      </c>
      <c r="BI3" s="56">
        <f t="shared" ref="BI3:BI29" si="13">AZ3+31</f>
        <v>45628</v>
      </c>
      <c r="BJ3" s="57">
        <f t="shared" ref="BJ3:BK29" si="14">BJ$1</f>
        <v>0.12</v>
      </c>
      <c r="BK3" s="58">
        <f t="shared" si="14"/>
        <v>15</v>
      </c>
      <c r="BL3" s="54">
        <f t="shared" ref="BL3:BL29" si="15">PMT(BJ3/12,BK3*12,-AX3)</f>
        <v>45922.15537728605</v>
      </c>
      <c r="BM3" s="56">
        <f>TIPOLOGÍAS!AZ3+(TIPOLOGÍAS!BK3*365.25)</f>
        <v>51075.75</v>
      </c>
      <c r="BN3" s="54">
        <f t="shared" ref="BN3:BN29" si="16">BL3*BK3*12</f>
        <v>8265987.9679114893</v>
      </c>
      <c r="BP3" s="16">
        <v>40</v>
      </c>
      <c r="BQ3" s="54">
        <f t="shared" ref="BQ3:BQ29" si="17">M3*BP3</f>
        <v>3520</v>
      </c>
      <c r="BR3" s="56">
        <f t="shared" ref="BR3:BR29" si="18">AZ3+31</f>
        <v>45628</v>
      </c>
      <c r="BS3" s="54">
        <f t="shared" ref="BS3:BS29" si="19">FV(BY3,BK$1-1,0,-BQ3)</f>
        <v>8841.7901087786195</v>
      </c>
      <c r="BT3" s="56">
        <f>TIPOLOGÍAS!AZ3+(TIPOLOGÍAS!BK3*365.25)</f>
        <v>51075.75</v>
      </c>
      <c r="BU3" s="54">
        <f t="shared" ref="BU3:BU29" si="20">FV(BY3,BK$1,-BQ3*12,0)</f>
        <v>1045240.912266276</v>
      </c>
      <c r="BW3" s="16">
        <v>23000</v>
      </c>
      <c r="BX3" s="56">
        <f>TIPOLOGÍAS!AZ3+62</f>
        <v>45659</v>
      </c>
      <c r="BY3" s="59">
        <f t="shared" ref="BY3:BY29" si="21">BY$1</f>
        <v>6.8000000000000005E-2</v>
      </c>
      <c r="BZ3" s="54">
        <f t="shared" ref="BZ3:BZ29" si="22">FV(BY3,BK$1,0,-BW3)</f>
        <v>61701.628475010788</v>
      </c>
      <c r="CA3" s="56">
        <f>TIPOLOGÍAS!AZ3+(TIPOLOGÍAS!BK3*365.25)</f>
        <v>51075.75</v>
      </c>
      <c r="CB3" s="67">
        <f t="shared" ref="CB3:CB29" si="23">CB$1</f>
        <v>11</v>
      </c>
      <c r="CC3" s="54">
        <f t="shared" ref="CC3:CC29" si="24">FV(BY3,BK3,-BW3*CB3,0)-(2*BW3)</f>
        <v>6214557.5474282149</v>
      </c>
      <c r="CE3" s="60">
        <f t="shared" ref="CE3:CE29" si="25">AV3+BF3+BN3+BU3</f>
        <v>10956950.880177766</v>
      </c>
      <c r="CF3" s="60">
        <f t="shared" ref="CF3:CF29" si="26">CE3-CC3</f>
        <v>4742393.3327495512</v>
      </c>
      <c r="CG3" s="60">
        <f t="shared" ref="CG3:CG29" ca="1" si="27">CF3/CL3</f>
        <v>28687.155972686331</v>
      </c>
      <c r="CH3" s="53">
        <f t="shared" ref="CH3:CH29" ca="1" si="28">(RATE(CL3,-CG3,0,CO3))*12</f>
        <v>0.1160070592665729</v>
      </c>
      <c r="CJ3" s="59">
        <f t="shared" ref="CJ3:CJ29" si="29">CJ$1</f>
        <v>6.8000000000000005E-2</v>
      </c>
      <c r="CK3" s="61">
        <f t="shared" ref="CK3:CK29" ca="1" si="30">(AZ3-TODAY()+(BK$1*365.25))</f>
        <v>5031.75</v>
      </c>
      <c r="CL3" s="62">
        <f t="shared" ref="CL3:CL29" ca="1" si="31">CK3/30.4375</f>
        <v>165.31416837782342</v>
      </c>
      <c r="CM3" s="62">
        <f t="shared" ref="CM3:CM29" ca="1" si="32">CL3/12</f>
        <v>13.776180698151952</v>
      </c>
      <c r="CN3" s="62" t="str">
        <f t="shared" ref="CN3:CN29" ca="1" si="33">INT(CM3) &amp; " años y " &amp; INT((CM3-INT(CM3))*12) &amp; " meses"</f>
        <v>13 años y 9 meses</v>
      </c>
      <c r="CO3" s="54">
        <f t="shared" ref="CO3:CO29" ca="1" si="34">FV(CJ3,((AZ3-TODAY())/365.25)+BK$1,0,-R3)</f>
        <v>11590882.700722408</v>
      </c>
    </row>
    <row r="4" spans="2:94" hidden="1">
      <c r="B4" s="12">
        <v>2</v>
      </c>
      <c r="C4" s="48" t="s">
        <v>107</v>
      </c>
      <c r="D4" s="27" t="s">
        <v>160</v>
      </c>
      <c r="E4" s="27" t="s">
        <v>548</v>
      </c>
      <c r="F4" s="27" t="s">
        <v>100</v>
      </c>
      <c r="G4" s="28" t="s">
        <v>173</v>
      </c>
      <c r="I4" s="14" t="s">
        <v>111</v>
      </c>
      <c r="J4" s="14">
        <v>14</v>
      </c>
      <c r="K4" s="14" t="s">
        <v>138</v>
      </c>
      <c r="M4" s="19">
        <v>79</v>
      </c>
      <c r="N4" s="16">
        <v>3740984</v>
      </c>
      <c r="O4" s="50" t="s">
        <v>108</v>
      </c>
      <c r="P4" s="53">
        <f t="shared" si="0"/>
        <v>0</v>
      </c>
      <c r="Q4" s="16"/>
      <c r="R4" s="54">
        <f t="shared" si="1"/>
        <v>3740984</v>
      </c>
      <c r="S4" s="54">
        <f t="shared" si="2"/>
        <v>47354.227848101269</v>
      </c>
      <c r="U4" s="64" t="s">
        <v>107</v>
      </c>
      <c r="V4" s="64" t="s">
        <v>107</v>
      </c>
      <c r="X4" s="14">
        <v>1</v>
      </c>
      <c r="Y4" s="21" t="s">
        <v>108</v>
      </c>
      <c r="Z4" s="14">
        <v>1.5</v>
      </c>
      <c r="AA4" s="21" t="s">
        <v>107</v>
      </c>
      <c r="AB4" s="21" t="s">
        <v>107</v>
      </c>
      <c r="AC4" s="21" t="s">
        <v>107</v>
      </c>
      <c r="AD4" s="21" t="s">
        <v>108</v>
      </c>
      <c r="AE4" s="19"/>
      <c r="AF4" s="21" t="s">
        <v>108</v>
      </c>
      <c r="AG4" s="19"/>
      <c r="AH4" s="21" t="s">
        <v>108</v>
      </c>
      <c r="AI4" s="21" t="s">
        <v>108</v>
      </c>
      <c r="AJ4" s="14">
        <v>1</v>
      </c>
      <c r="AK4" s="21" t="s">
        <v>108</v>
      </c>
      <c r="AL4" s="19"/>
      <c r="AM4" s="21" t="s">
        <v>108</v>
      </c>
      <c r="AN4" s="19"/>
      <c r="AP4" s="17">
        <v>0.05</v>
      </c>
      <c r="AQ4" s="54">
        <f t="shared" si="3"/>
        <v>187049.2</v>
      </c>
      <c r="AR4" s="17">
        <v>0.15</v>
      </c>
      <c r="AS4" s="54">
        <f t="shared" si="4"/>
        <v>561147.6</v>
      </c>
      <c r="AT4" s="18">
        <v>18</v>
      </c>
      <c r="AU4" s="54">
        <f t="shared" si="5"/>
        <v>31174.866666666665</v>
      </c>
      <c r="AV4" s="54">
        <f t="shared" si="6"/>
        <v>748196.8</v>
      </c>
      <c r="AW4" s="55">
        <f t="shared" si="7"/>
        <v>0.79999999999999993</v>
      </c>
      <c r="AX4" s="54">
        <f t="shared" si="8"/>
        <v>2992787.1999999997</v>
      </c>
      <c r="AZ4" s="22">
        <v>45261</v>
      </c>
      <c r="BB4" s="54">
        <f t="shared" si="9"/>
        <v>112229.51999999999</v>
      </c>
      <c r="BC4" s="54">
        <f t="shared" si="10"/>
        <v>74819.680000000008</v>
      </c>
      <c r="BD4" s="16">
        <v>180000</v>
      </c>
      <c r="BE4" s="16">
        <v>125000</v>
      </c>
      <c r="BF4" s="54">
        <f t="shared" si="11"/>
        <v>492049.2</v>
      </c>
      <c r="BH4" s="54">
        <f t="shared" si="12"/>
        <v>2992787.1999999997</v>
      </c>
      <c r="BI4" s="56">
        <f t="shared" si="13"/>
        <v>45292</v>
      </c>
      <c r="BJ4" s="57">
        <f t="shared" si="14"/>
        <v>0.12</v>
      </c>
      <c r="BK4" s="58">
        <f t="shared" si="14"/>
        <v>15</v>
      </c>
      <c r="BL4" s="54">
        <f t="shared" si="15"/>
        <v>35918.476140762868</v>
      </c>
      <c r="BM4" s="56">
        <f>TIPOLOGÍAS!AZ4+(TIPOLOGÍAS!BK4*365.25)</f>
        <v>50739.75</v>
      </c>
      <c r="BN4" s="54">
        <f t="shared" si="16"/>
        <v>6465325.7053373158</v>
      </c>
      <c r="BP4" s="16">
        <v>50</v>
      </c>
      <c r="BQ4" s="54">
        <f t="shared" si="17"/>
        <v>3950</v>
      </c>
      <c r="BR4" s="56">
        <f t="shared" si="18"/>
        <v>45292</v>
      </c>
      <c r="BS4" s="54">
        <f t="shared" si="19"/>
        <v>9921.8951504760062</v>
      </c>
      <c r="BT4" s="56">
        <f>TIPOLOGÍAS!AZ4+(TIPOLOGÍAS!BK4*365.25)</f>
        <v>50739.75</v>
      </c>
      <c r="BU4" s="54">
        <f t="shared" si="20"/>
        <v>1172926.591889713</v>
      </c>
      <c r="BW4" s="16">
        <v>18000</v>
      </c>
      <c r="BX4" s="56">
        <f>TIPOLOGÍAS!AZ4+62</f>
        <v>45323</v>
      </c>
      <c r="BY4" s="59">
        <f t="shared" si="21"/>
        <v>6.8000000000000005E-2</v>
      </c>
      <c r="BZ4" s="54">
        <f t="shared" si="22"/>
        <v>48288.230980443223</v>
      </c>
      <c r="CA4" s="56">
        <f>TIPOLOGÍAS!AZ4+(TIPOLOGÍAS!BK4*365.25)</f>
        <v>50739.75</v>
      </c>
      <c r="CB4" s="67">
        <f t="shared" si="23"/>
        <v>11</v>
      </c>
      <c r="CC4" s="54">
        <f t="shared" si="24"/>
        <v>4863566.7762481682</v>
      </c>
      <c r="CE4" s="60">
        <f t="shared" si="25"/>
        <v>8878498.2972270288</v>
      </c>
      <c r="CF4" s="60">
        <f t="shared" si="26"/>
        <v>4014931.5209788606</v>
      </c>
      <c r="CG4" s="60">
        <f t="shared" ca="1" si="27"/>
        <v>26024.485581599118</v>
      </c>
      <c r="CH4" s="53">
        <f t="shared" ca="1" si="28"/>
        <v>0.10929936264861642</v>
      </c>
      <c r="CJ4" s="59">
        <f t="shared" si="29"/>
        <v>6.8000000000000005E-2</v>
      </c>
      <c r="CK4" s="61">
        <f t="shared" ca="1" si="30"/>
        <v>4695.75</v>
      </c>
      <c r="CL4" s="62">
        <f t="shared" ca="1" si="31"/>
        <v>154.27515400410678</v>
      </c>
      <c r="CM4" s="62">
        <f t="shared" ca="1" si="32"/>
        <v>12.856262833675565</v>
      </c>
      <c r="CN4" s="62" t="str">
        <f t="shared" ca="1" si="33"/>
        <v>12 años y 10 meses</v>
      </c>
      <c r="CO4" s="54">
        <f t="shared" ca="1" si="34"/>
        <v>8715762.4480768554</v>
      </c>
    </row>
    <row r="5" spans="2:94" hidden="1">
      <c r="B5" s="12">
        <v>3</v>
      </c>
      <c r="C5" s="48" t="s">
        <v>107</v>
      </c>
      <c r="D5" s="27" t="s">
        <v>160</v>
      </c>
      <c r="E5" s="27" t="s">
        <v>164</v>
      </c>
      <c r="F5" s="27" t="s">
        <v>546</v>
      </c>
      <c r="G5" s="28" t="s">
        <v>174</v>
      </c>
      <c r="I5" s="14" t="s">
        <v>540</v>
      </c>
      <c r="J5" s="14">
        <v>7</v>
      </c>
      <c r="K5" s="14" t="s">
        <v>539</v>
      </c>
      <c r="M5" s="19">
        <v>123</v>
      </c>
      <c r="N5" s="16">
        <v>4000000</v>
      </c>
      <c r="O5" s="50" t="s">
        <v>108</v>
      </c>
      <c r="P5" s="53">
        <f t="shared" si="0"/>
        <v>0</v>
      </c>
      <c r="Q5" s="16"/>
      <c r="R5" s="54">
        <f t="shared" si="1"/>
        <v>4000000</v>
      </c>
      <c r="S5" s="54">
        <f t="shared" si="2"/>
        <v>32520.325203252032</v>
      </c>
      <c r="U5" s="64" t="s">
        <v>108</v>
      </c>
      <c r="V5" s="64" t="s">
        <v>108</v>
      </c>
      <c r="X5" s="14">
        <v>3</v>
      </c>
      <c r="Y5" s="21" t="s">
        <v>108</v>
      </c>
      <c r="Z5" s="14">
        <v>2</v>
      </c>
      <c r="AA5" s="21" t="s">
        <v>107</v>
      </c>
      <c r="AB5" s="21" t="s">
        <v>107</v>
      </c>
      <c r="AC5" s="21" t="s">
        <v>107</v>
      </c>
      <c r="AD5" s="21" t="s">
        <v>107</v>
      </c>
      <c r="AE5" s="19">
        <v>5</v>
      </c>
      <c r="AF5" s="21" t="s">
        <v>108</v>
      </c>
      <c r="AG5" s="19"/>
      <c r="AH5" s="21" t="s">
        <v>108</v>
      </c>
      <c r="AI5" s="21" t="s">
        <v>108</v>
      </c>
      <c r="AJ5" s="14">
        <v>2</v>
      </c>
      <c r="AK5" s="14"/>
      <c r="AL5" s="14"/>
      <c r="AM5" s="21" t="s">
        <v>108</v>
      </c>
      <c r="AN5" s="19"/>
      <c r="AP5" s="17">
        <v>0.1</v>
      </c>
      <c r="AQ5" s="54">
        <f t="shared" si="3"/>
        <v>400000</v>
      </c>
      <c r="AR5" s="17">
        <v>0.1</v>
      </c>
      <c r="AS5" s="54">
        <f t="shared" si="4"/>
        <v>400000</v>
      </c>
      <c r="AT5" s="18">
        <v>30</v>
      </c>
      <c r="AU5" s="54">
        <f t="shared" si="5"/>
        <v>13333.333333333334</v>
      </c>
      <c r="AV5" s="54">
        <f t="shared" si="6"/>
        <v>800000</v>
      </c>
      <c r="AW5" s="55">
        <f t="shared" si="7"/>
        <v>0.8</v>
      </c>
      <c r="AX5" s="54">
        <f t="shared" si="8"/>
        <v>3200000</v>
      </c>
      <c r="AZ5" s="22">
        <v>45748</v>
      </c>
      <c r="BB5" s="54">
        <f t="shared" si="9"/>
        <v>120000</v>
      </c>
      <c r="BC5" s="54">
        <f t="shared" si="10"/>
        <v>80000</v>
      </c>
      <c r="BD5" s="16">
        <v>150000</v>
      </c>
      <c r="BE5" s="16">
        <v>145000</v>
      </c>
      <c r="BF5" s="54">
        <f t="shared" si="11"/>
        <v>495000</v>
      </c>
      <c r="BH5" s="54">
        <f t="shared" si="12"/>
        <v>3200000</v>
      </c>
      <c r="BI5" s="56">
        <f t="shared" si="13"/>
        <v>45779</v>
      </c>
      <c r="BJ5" s="57">
        <f t="shared" si="14"/>
        <v>0.12</v>
      </c>
      <c r="BK5" s="58">
        <f t="shared" si="14"/>
        <v>15</v>
      </c>
      <c r="BL5" s="54">
        <f t="shared" si="15"/>
        <v>38405.377986928434</v>
      </c>
      <c r="BM5" s="56">
        <f>TIPOLOGÍAS!AZ5+(TIPOLOGÍAS!BK5*365.25)</f>
        <v>51226.75</v>
      </c>
      <c r="BN5" s="54">
        <f t="shared" si="16"/>
        <v>6912968.0376471179</v>
      </c>
      <c r="BP5" s="16">
        <v>45</v>
      </c>
      <c r="BQ5" s="54">
        <f t="shared" si="17"/>
        <v>5535</v>
      </c>
      <c r="BR5" s="56">
        <f t="shared" si="18"/>
        <v>45779</v>
      </c>
      <c r="BS5" s="54">
        <f t="shared" si="19"/>
        <v>13903.212571616379</v>
      </c>
      <c r="BT5" s="56">
        <f>TIPOLOGÍAS!AZ5+(TIPOLOGÍAS!BK5*365.25)</f>
        <v>51226.75</v>
      </c>
      <c r="BU5" s="54">
        <f t="shared" si="20"/>
        <v>1643581.945850522</v>
      </c>
      <c r="BW5" s="16">
        <v>20000</v>
      </c>
      <c r="BX5" s="56">
        <f>TIPOLOGÍAS!AZ5+62</f>
        <v>45810</v>
      </c>
      <c r="BY5" s="59">
        <f t="shared" si="21"/>
        <v>6.8000000000000005E-2</v>
      </c>
      <c r="BZ5" s="54">
        <f t="shared" si="22"/>
        <v>53653.589978270247</v>
      </c>
      <c r="CA5" s="56">
        <f>TIPOLOGÍAS!AZ5+(TIPOLOGÍAS!BK5*365.25)</f>
        <v>51226.75</v>
      </c>
      <c r="CB5" s="67">
        <f t="shared" si="23"/>
        <v>11</v>
      </c>
      <c r="CC5" s="54">
        <f t="shared" si="24"/>
        <v>5403963.0847201869</v>
      </c>
      <c r="CE5" s="60">
        <f t="shared" si="25"/>
        <v>9851549.9834976401</v>
      </c>
      <c r="CF5" s="60">
        <f t="shared" si="26"/>
        <v>4447586.8987774532</v>
      </c>
      <c r="CG5" s="60">
        <f t="shared" ca="1" si="27"/>
        <v>26119.999272883841</v>
      </c>
      <c r="CH5" s="53">
        <f t="shared" ca="1" si="28"/>
        <v>0.10500172355015108</v>
      </c>
      <c r="CJ5" s="59">
        <f t="shared" si="29"/>
        <v>6.8000000000000005E-2</v>
      </c>
      <c r="CK5" s="61">
        <f t="shared" ca="1" si="30"/>
        <v>5182.75</v>
      </c>
      <c r="CL5" s="62">
        <f t="shared" ca="1" si="31"/>
        <v>170.27515400410678</v>
      </c>
      <c r="CM5" s="62">
        <f t="shared" ca="1" si="32"/>
        <v>14.189596167008899</v>
      </c>
      <c r="CN5" s="62" t="str">
        <f t="shared" ca="1" si="33"/>
        <v>14 años y 2 meses</v>
      </c>
      <c r="CO5" s="54">
        <f t="shared" ca="1" si="34"/>
        <v>10173596.972028995</v>
      </c>
    </row>
    <row r="6" spans="2:94" hidden="1">
      <c r="B6" s="12">
        <v>4</v>
      </c>
      <c r="C6" s="48" t="s">
        <v>107</v>
      </c>
      <c r="D6" s="27" t="s">
        <v>160</v>
      </c>
      <c r="E6" s="27" t="s">
        <v>138</v>
      </c>
      <c r="F6" s="27" t="s">
        <v>542</v>
      </c>
      <c r="G6" s="28" t="s">
        <v>175</v>
      </c>
      <c r="I6" s="14" t="s">
        <v>545</v>
      </c>
      <c r="J6" s="14">
        <v>12</v>
      </c>
      <c r="K6" s="14" t="s">
        <v>544</v>
      </c>
      <c r="M6" s="19">
        <v>65</v>
      </c>
      <c r="N6" s="16">
        <v>2987000</v>
      </c>
      <c r="O6" s="50" t="s">
        <v>107</v>
      </c>
      <c r="P6" s="53">
        <f t="shared" si="0"/>
        <v>0</v>
      </c>
      <c r="Q6" s="16"/>
      <c r="R6" s="54">
        <f t="shared" si="1"/>
        <v>2987000</v>
      </c>
      <c r="S6" s="54">
        <f t="shared" si="2"/>
        <v>45953.846153846156</v>
      </c>
      <c r="U6" s="64" t="s">
        <v>108</v>
      </c>
      <c r="V6" s="64" t="s">
        <v>108</v>
      </c>
      <c r="X6" s="14">
        <v>2</v>
      </c>
      <c r="Y6" s="21" t="s">
        <v>108</v>
      </c>
      <c r="Z6" s="14">
        <v>2</v>
      </c>
      <c r="AA6" s="21" t="s">
        <v>107</v>
      </c>
      <c r="AB6" s="21" t="s">
        <v>107</v>
      </c>
      <c r="AC6" s="21" t="s">
        <v>107</v>
      </c>
      <c r="AD6" s="21" t="s">
        <v>107</v>
      </c>
      <c r="AE6" s="19">
        <v>6</v>
      </c>
      <c r="AF6" s="21" t="s">
        <v>108</v>
      </c>
      <c r="AG6" s="19"/>
      <c r="AH6" s="21" t="s">
        <v>108</v>
      </c>
      <c r="AI6" s="21" t="s">
        <v>108</v>
      </c>
      <c r="AJ6" s="14">
        <v>2</v>
      </c>
      <c r="AK6" s="14"/>
      <c r="AL6" s="14"/>
      <c r="AM6" s="21" t="s">
        <v>108</v>
      </c>
      <c r="AN6" s="19"/>
      <c r="AP6" s="17">
        <v>0.1</v>
      </c>
      <c r="AQ6" s="54">
        <f t="shared" si="3"/>
        <v>298700</v>
      </c>
      <c r="AR6" s="17">
        <v>0.1</v>
      </c>
      <c r="AS6" s="54">
        <f t="shared" si="4"/>
        <v>298700</v>
      </c>
      <c r="AT6" s="18">
        <v>24</v>
      </c>
      <c r="AU6" s="54">
        <f t="shared" si="5"/>
        <v>12445.833333333334</v>
      </c>
      <c r="AV6" s="54">
        <f t="shared" si="6"/>
        <v>597400</v>
      </c>
      <c r="AW6" s="55">
        <f t="shared" si="7"/>
        <v>0.8</v>
      </c>
      <c r="AX6" s="54">
        <f t="shared" si="8"/>
        <v>2389600</v>
      </c>
      <c r="AZ6" s="22">
        <v>45627</v>
      </c>
      <c r="BB6" s="54">
        <f t="shared" si="9"/>
        <v>89610</v>
      </c>
      <c r="BC6" s="54">
        <f t="shared" si="10"/>
        <v>59740</v>
      </c>
      <c r="BD6" s="16">
        <v>220000</v>
      </c>
      <c r="BE6" s="16">
        <v>190000</v>
      </c>
      <c r="BF6" s="54">
        <f t="shared" si="11"/>
        <v>559350</v>
      </c>
      <c r="BH6" s="54">
        <f t="shared" si="12"/>
        <v>2389600</v>
      </c>
      <c r="BI6" s="56">
        <f t="shared" si="13"/>
        <v>45658</v>
      </c>
      <c r="BJ6" s="57">
        <f t="shared" si="14"/>
        <v>0.12</v>
      </c>
      <c r="BK6" s="58">
        <f t="shared" si="14"/>
        <v>15</v>
      </c>
      <c r="BL6" s="54">
        <f t="shared" si="15"/>
        <v>28679.216011738812</v>
      </c>
      <c r="BM6" s="56">
        <f>TIPOLOGÍAS!AZ6+(TIPOLOGÍAS!BK6*365.25)</f>
        <v>51105.75</v>
      </c>
      <c r="BN6" s="54">
        <f t="shared" si="16"/>
        <v>5162258.8821129864</v>
      </c>
      <c r="BP6" s="16">
        <v>35</v>
      </c>
      <c r="BQ6" s="54">
        <f t="shared" si="17"/>
        <v>2275</v>
      </c>
      <c r="BR6" s="56">
        <f t="shared" si="18"/>
        <v>45658</v>
      </c>
      <c r="BS6" s="54">
        <f t="shared" si="19"/>
        <v>5714.5092322361816</v>
      </c>
      <c r="BT6" s="56">
        <f>TIPOLOGÍAS!AZ6+(TIPOLOGÍAS!BK6*365.25)</f>
        <v>51105.75</v>
      </c>
      <c r="BU6" s="54">
        <f t="shared" si="20"/>
        <v>675546.32824027771</v>
      </c>
      <c r="BW6" s="16">
        <v>14000</v>
      </c>
      <c r="BX6" s="56">
        <f>TIPOLOGÍAS!AZ6+62</f>
        <v>45689</v>
      </c>
      <c r="BY6" s="59">
        <f t="shared" si="21"/>
        <v>6.8000000000000005E-2</v>
      </c>
      <c r="BZ6" s="54">
        <f t="shared" si="22"/>
        <v>37557.512984789173</v>
      </c>
      <c r="CA6" s="56">
        <f>TIPOLOGÍAS!AZ6+(TIPOLOGÍAS!BK6*365.25)</f>
        <v>51105.75</v>
      </c>
      <c r="CB6" s="67">
        <f t="shared" si="23"/>
        <v>11</v>
      </c>
      <c r="CC6" s="54">
        <f t="shared" si="24"/>
        <v>3782774.1593041308</v>
      </c>
      <c r="CE6" s="60">
        <f t="shared" si="25"/>
        <v>6994555.2103532646</v>
      </c>
      <c r="CF6" s="60">
        <f t="shared" si="26"/>
        <v>3211781.0510491338</v>
      </c>
      <c r="CG6" s="60">
        <f t="shared" ca="1" si="27"/>
        <v>19313.199138896234</v>
      </c>
      <c r="CH6" s="53">
        <f t="shared" ca="1" si="28"/>
        <v>0.10891792664555389</v>
      </c>
      <c r="CJ6" s="59">
        <f t="shared" si="29"/>
        <v>6.8000000000000005E-2</v>
      </c>
      <c r="CK6" s="61">
        <f t="shared" ca="1" si="30"/>
        <v>5061.75</v>
      </c>
      <c r="CL6" s="62">
        <f t="shared" ca="1" si="31"/>
        <v>166.29979466119096</v>
      </c>
      <c r="CM6" s="62">
        <f t="shared" ca="1" si="32"/>
        <v>13.858316221765913</v>
      </c>
      <c r="CN6" s="62" t="str">
        <f t="shared" ca="1" si="33"/>
        <v>13 años y 10 meses</v>
      </c>
      <c r="CO6" s="54">
        <f t="shared" ca="1" si="34"/>
        <v>7433351.6292209653</v>
      </c>
    </row>
    <row r="7" spans="2:94" hidden="1">
      <c r="B7" s="3">
        <v>5</v>
      </c>
      <c r="C7" s="48" t="s">
        <v>107</v>
      </c>
      <c r="D7" s="27" t="s">
        <v>160</v>
      </c>
      <c r="E7" s="27" t="s">
        <v>165</v>
      </c>
      <c r="F7" s="27" t="s">
        <v>100</v>
      </c>
      <c r="G7" s="28" t="s">
        <v>549</v>
      </c>
      <c r="I7" s="14" t="s">
        <v>111</v>
      </c>
      <c r="J7" s="14">
        <v>4</v>
      </c>
      <c r="K7" s="14" t="s">
        <v>171</v>
      </c>
      <c r="M7" s="19">
        <v>88</v>
      </c>
      <c r="N7" s="16">
        <v>5477582</v>
      </c>
      <c r="O7" s="50" t="s">
        <v>108</v>
      </c>
      <c r="P7" s="53">
        <f t="shared" si="0"/>
        <v>0</v>
      </c>
      <c r="Q7" s="16"/>
      <c r="R7" s="54">
        <f t="shared" si="1"/>
        <v>5477582</v>
      </c>
      <c r="S7" s="54">
        <f t="shared" si="2"/>
        <v>62245.25</v>
      </c>
      <c r="U7" s="64" t="s">
        <v>108</v>
      </c>
      <c r="V7" s="64" t="s">
        <v>108</v>
      </c>
      <c r="X7" s="14">
        <v>2</v>
      </c>
      <c r="Y7" s="21" t="s">
        <v>108</v>
      </c>
      <c r="Z7" s="14">
        <v>2</v>
      </c>
      <c r="AA7" s="21" t="s">
        <v>107</v>
      </c>
      <c r="AB7" s="21" t="s">
        <v>107</v>
      </c>
      <c r="AC7" s="21" t="s">
        <v>107</v>
      </c>
      <c r="AD7" s="21" t="s">
        <v>107</v>
      </c>
      <c r="AE7" s="19">
        <v>3</v>
      </c>
      <c r="AF7" s="21" t="s">
        <v>108</v>
      </c>
      <c r="AG7" s="19"/>
      <c r="AH7" s="21" t="s">
        <v>107</v>
      </c>
      <c r="AI7" s="21" t="s">
        <v>108</v>
      </c>
      <c r="AJ7" s="14">
        <v>2</v>
      </c>
      <c r="AK7" s="14"/>
      <c r="AL7" s="14"/>
      <c r="AM7" s="21" t="s">
        <v>107</v>
      </c>
      <c r="AN7" s="19"/>
      <c r="AP7" s="17">
        <v>0.15</v>
      </c>
      <c r="AQ7" s="54">
        <f t="shared" si="3"/>
        <v>821637.29999999993</v>
      </c>
      <c r="AR7" s="17">
        <v>0.15</v>
      </c>
      <c r="AS7" s="54">
        <f t="shared" si="4"/>
        <v>821637.29999999993</v>
      </c>
      <c r="AT7" s="18">
        <v>21</v>
      </c>
      <c r="AU7" s="54">
        <f t="shared" si="5"/>
        <v>39125.585714285713</v>
      </c>
      <c r="AV7" s="54">
        <f t="shared" si="6"/>
        <v>1643274.5999999999</v>
      </c>
      <c r="AW7" s="55">
        <f t="shared" si="7"/>
        <v>0.7</v>
      </c>
      <c r="AX7" s="54">
        <f t="shared" si="8"/>
        <v>3834307.4000000004</v>
      </c>
      <c r="AZ7" s="22">
        <v>45931</v>
      </c>
      <c r="BB7" s="54">
        <f t="shared" si="9"/>
        <v>164327.46</v>
      </c>
      <c r="BC7" s="54">
        <f t="shared" si="10"/>
        <v>109551.64</v>
      </c>
      <c r="BD7" s="16">
        <v>290000</v>
      </c>
      <c r="BE7" s="16">
        <v>200000</v>
      </c>
      <c r="BF7" s="54">
        <f t="shared" si="11"/>
        <v>763879.1</v>
      </c>
      <c r="BH7" s="54">
        <f t="shared" si="12"/>
        <v>3834307.4000000004</v>
      </c>
      <c r="BI7" s="56">
        <f t="shared" si="13"/>
        <v>45962</v>
      </c>
      <c r="BJ7" s="57">
        <f t="shared" si="14"/>
        <v>0.12</v>
      </c>
      <c r="BK7" s="58">
        <f t="shared" si="14"/>
        <v>15</v>
      </c>
      <c r="BL7" s="54">
        <f t="shared" si="15"/>
        <v>46018.132817211503</v>
      </c>
      <c r="BM7" s="56">
        <f>TIPOLOGÍAS!AZ7+(TIPOLOGÍAS!BK7*365.25)</f>
        <v>51409.75</v>
      </c>
      <c r="BN7" s="54">
        <f t="shared" si="16"/>
        <v>8283263.9070980698</v>
      </c>
      <c r="BP7" s="16">
        <v>45</v>
      </c>
      <c r="BQ7" s="54">
        <f t="shared" si="17"/>
        <v>3960</v>
      </c>
      <c r="BR7" s="56">
        <f t="shared" si="18"/>
        <v>45962</v>
      </c>
      <c r="BS7" s="54">
        <f t="shared" si="19"/>
        <v>9947.0138723759464</v>
      </c>
      <c r="BT7" s="56">
        <f>TIPOLOGÍAS!AZ7+(TIPOLOGÍAS!BK7*365.25)</f>
        <v>51409.75</v>
      </c>
      <c r="BU7" s="54">
        <f t="shared" si="20"/>
        <v>1175896.0262995604</v>
      </c>
      <c r="BW7" s="16">
        <v>28800</v>
      </c>
      <c r="BX7" s="56">
        <f>TIPOLOGÍAS!AZ7+62</f>
        <v>45993</v>
      </c>
      <c r="BY7" s="59">
        <f t="shared" si="21"/>
        <v>6.8000000000000005E-2</v>
      </c>
      <c r="BZ7" s="54">
        <f t="shared" si="22"/>
        <v>77261.169568709156</v>
      </c>
      <c r="CA7" s="56">
        <f>TIPOLOGÍAS!AZ7+(TIPOLOGÍAS!BK7*365.25)</f>
        <v>51409.75</v>
      </c>
      <c r="CB7" s="67">
        <f t="shared" si="23"/>
        <v>11</v>
      </c>
      <c r="CC7" s="54">
        <f t="shared" si="24"/>
        <v>7781706.8419970693</v>
      </c>
      <c r="CE7" s="60">
        <f t="shared" si="25"/>
        <v>11866313.633397629</v>
      </c>
      <c r="CF7" s="60">
        <f t="shared" si="26"/>
        <v>4084606.7914005602</v>
      </c>
      <c r="CG7" s="60">
        <f t="shared" ca="1" si="27"/>
        <v>23170.14754941146</v>
      </c>
      <c r="CH7" s="53">
        <f t="shared" ca="1" si="28"/>
        <v>0.14779984141972111</v>
      </c>
      <c r="CJ7" s="59">
        <f t="shared" si="29"/>
        <v>6.8000000000000005E-2</v>
      </c>
      <c r="CK7" s="61">
        <f t="shared" ca="1" si="30"/>
        <v>5365.75</v>
      </c>
      <c r="CL7" s="62">
        <f t="shared" ca="1" si="31"/>
        <v>176.28747433264888</v>
      </c>
      <c r="CM7" s="62">
        <f t="shared" ca="1" si="32"/>
        <v>14.690622861054074</v>
      </c>
      <c r="CN7" s="62" t="str">
        <f t="shared" ca="1" si="33"/>
        <v>14 años y 8 meses</v>
      </c>
      <c r="CO7" s="54">
        <f t="shared" ca="1" si="34"/>
        <v>14398537.628278865</v>
      </c>
    </row>
    <row r="8" spans="2:94" hidden="1">
      <c r="B8" s="11">
        <v>6</v>
      </c>
      <c r="C8" s="48" t="s">
        <v>107</v>
      </c>
      <c r="D8" s="27" t="s">
        <v>160</v>
      </c>
      <c r="E8" s="27" t="s">
        <v>543</v>
      </c>
      <c r="F8" s="27" t="s">
        <v>547</v>
      </c>
      <c r="G8" s="28" t="s">
        <v>179</v>
      </c>
      <c r="I8" s="14" t="s">
        <v>111</v>
      </c>
      <c r="J8" s="14">
        <v>20</v>
      </c>
      <c r="K8" s="14" t="s">
        <v>138</v>
      </c>
      <c r="M8" s="19">
        <v>123</v>
      </c>
      <c r="N8" s="16">
        <v>3660665</v>
      </c>
      <c r="O8" s="50" t="s">
        <v>108</v>
      </c>
      <c r="P8" s="53">
        <f t="shared" si="0"/>
        <v>0</v>
      </c>
      <c r="Q8" s="16"/>
      <c r="R8" s="54">
        <f t="shared" si="1"/>
        <v>3660665</v>
      </c>
      <c r="S8" s="54">
        <f t="shared" si="2"/>
        <v>29761.504065040652</v>
      </c>
      <c r="U8" s="64" t="s">
        <v>108</v>
      </c>
      <c r="V8" s="64"/>
      <c r="X8" s="14">
        <v>2.5</v>
      </c>
      <c r="Y8" s="21" t="s">
        <v>108</v>
      </c>
      <c r="Z8" s="14">
        <v>1</v>
      </c>
      <c r="AA8" s="21" t="s">
        <v>107</v>
      </c>
      <c r="AB8" s="21" t="s">
        <v>107</v>
      </c>
      <c r="AC8" s="21" t="s">
        <v>107</v>
      </c>
      <c r="AD8" s="21" t="s">
        <v>108</v>
      </c>
      <c r="AE8" s="19"/>
      <c r="AF8" s="21" t="s">
        <v>108</v>
      </c>
      <c r="AG8" s="19"/>
      <c r="AH8" s="21" t="s">
        <v>108</v>
      </c>
      <c r="AI8" s="21" t="s">
        <v>108</v>
      </c>
      <c r="AJ8" s="14">
        <v>2</v>
      </c>
      <c r="AK8" s="14"/>
      <c r="AL8" s="14"/>
      <c r="AM8" s="21" t="s">
        <v>108</v>
      </c>
      <c r="AN8" s="19"/>
      <c r="AP8" s="17">
        <v>0.1</v>
      </c>
      <c r="AQ8" s="54">
        <f t="shared" si="3"/>
        <v>366066.5</v>
      </c>
      <c r="AR8" s="17">
        <v>0.1</v>
      </c>
      <c r="AS8" s="54">
        <f t="shared" si="4"/>
        <v>366066.5</v>
      </c>
      <c r="AT8" s="18">
        <v>26</v>
      </c>
      <c r="AU8" s="54">
        <f t="shared" si="5"/>
        <v>14079.48076923077</v>
      </c>
      <c r="AV8" s="54">
        <f t="shared" si="6"/>
        <v>732133</v>
      </c>
      <c r="AW8" s="55">
        <f t="shared" si="7"/>
        <v>0.8</v>
      </c>
      <c r="AX8" s="54">
        <f t="shared" si="8"/>
        <v>2928532</v>
      </c>
      <c r="AZ8" s="22">
        <v>45261</v>
      </c>
      <c r="BB8" s="54">
        <f t="shared" si="9"/>
        <v>109819.95</v>
      </c>
      <c r="BC8" s="54">
        <f t="shared" si="10"/>
        <v>73213.3</v>
      </c>
      <c r="BD8" s="16">
        <v>255000</v>
      </c>
      <c r="BE8" s="16">
        <v>172500</v>
      </c>
      <c r="BF8" s="54">
        <f t="shared" si="11"/>
        <v>610533.25</v>
      </c>
      <c r="BH8" s="54">
        <f t="shared" si="12"/>
        <v>2928532</v>
      </c>
      <c r="BI8" s="56">
        <f t="shared" si="13"/>
        <v>45292</v>
      </c>
      <c r="BJ8" s="57">
        <f t="shared" si="14"/>
        <v>0.12</v>
      </c>
      <c r="BK8" s="58">
        <f t="shared" si="14"/>
        <v>15</v>
      </c>
      <c r="BL8" s="54">
        <f t="shared" si="15"/>
        <v>35147.305752129847</v>
      </c>
      <c r="BM8" s="56">
        <f>TIPOLOGÍAS!AZ8+(TIPOLOGÍAS!BK8*365.25)</f>
        <v>50739.75</v>
      </c>
      <c r="BN8" s="54">
        <f t="shared" si="16"/>
        <v>6326515.0353833716</v>
      </c>
      <c r="BP8" s="16">
        <v>42.5</v>
      </c>
      <c r="BQ8" s="54">
        <f t="shared" si="17"/>
        <v>5227.5</v>
      </c>
      <c r="BR8" s="56">
        <f t="shared" si="18"/>
        <v>45292</v>
      </c>
      <c r="BS8" s="54">
        <f t="shared" si="19"/>
        <v>13130.811873193246</v>
      </c>
      <c r="BT8" s="56">
        <f>TIPOLOGÍAS!AZ8+(TIPOLOGÍAS!BK8*365.25)</f>
        <v>50739.75</v>
      </c>
      <c r="BU8" s="54">
        <f t="shared" si="20"/>
        <v>1552271.8377477152</v>
      </c>
      <c r="BW8" s="16">
        <v>15800</v>
      </c>
      <c r="BX8" s="56">
        <f>TIPOLOGÍAS!AZ8+62</f>
        <v>45323</v>
      </c>
      <c r="BY8" s="59">
        <f t="shared" si="21"/>
        <v>6.8000000000000005E-2</v>
      </c>
      <c r="BZ8" s="54">
        <f t="shared" si="22"/>
        <v>42386.336082833499</v>
      </c>
      <c r="CA8" s="56">
        <f>TIPOLOGÍAS!AZ8+(TIPOLOGÍAS!BK8*365.25)</f>
        <v>50739.75</v>
      </c>
      <c r="CB8" s="67">
        <f t="shared" si="23"/>
        <v>11</v>
      </c>
      <c r="CC8" s="54">
        <f t="shared" si="24"/>
        <v>4269130.8369289478</v>
      </c>
      <c r="CE8" s="60">
        <f t="shared" si="25"/>
        <v>9221453.123131087</v>
      </c>
      <c r="CF8" s="60">
        <f t="shared" si="26"/>
        <v>4952322.2862021392</v>
      </c>
      <c r="CG8" s="60">
        <f t="shared" ca="1" si="27"/>
        <v>32100.582353463793</v>
      </c>
      <c r="CH8" s="53">
        <f t="shared" ca="1" si="28"/>
        <v>7.8778023215100634E-2</v>
      </c>
      <c r="CJ8" s="59">
        <f t="shared" si="29"/>
        <v>6.8000000000000005E-2</v>
      </c>
      <c r="CK8" s="61">
        <f t="shared" ca="1" si="30"/>
        <v>4695.75</v>
      </c>
      <c r="CL8" s="62">
        <f t="shared" ca="1" si="31"/>
        <v>154.27515400410678</v>
      </c>
      <c r="CM8" s="62">
        <f t="shared" ca="1" si="32"/>
        <v>12.856262833675565</v>
      </c>
      <c r="CN8" s="62" t="str">
        <f t="shared" ca="1" si="33"/>
        <v>12 años y 10 meses</v>
      </c>
      <c r="CO8" s="54">
        <f t="shared" ca="1" si="34"/>
        <v>8528634.857029397</v>
      </c>
    </row>
    <row r="9" spans="2:94" hidden="1">
      <c r="B9" s="12">
        <v>7</v>
      </c>
      <c r="C9" s="48" t="s">
        <v>107</v>
      </c>
      <c r="D9" s="27" t="s">
        <v>160</v>
      </c>
      <c r="E9" s="27" t="s">
        <v>172</v>
      </c>
      <c r="F9" s="27" t="s">
        <v>100</v>
      </c>
      <c r="G9" s="28" t="s">
        <v>180</v>
      </c>
      <c r="I9" s="14" t="s">
        <v>540</v>
      </c>
      <c r="J9" s="14">
        <v>8</v>
      </c>
      <c r="K9" s="14" t="s">
        <v>539</v>
      </c>
      <c r="M9" s="19">
        <v>88.62</v>
      </c>
      <c r="N9" s="16">
        <v>3590664</v>
      </c>
      <c r="O9" s="50" t="s">
        <v>108</v>
      </c>
      <c r="P9" s="53">
        <f t="shared" si="0"/>
        <v>0</v>
      </c>
      <c r="Q9" s="16"/>
      <c r="R9" s="54">
        <f t="shared" si="1"/>
        <v>3590664</v>
      </c>
      <c r="S9" s="54">
        <f t="shared" si="2"/>
        <v>40517.535545023697</v>
      </c>
      <c r="U9" s="64" t="s">
        <v>108</v>
      </c>
      <c r="V9" s="64" t="s">
        <v>108</v>
      </c>
      <c r="X9" s="14">
        <v>2.7</v>
      </c>
      <c r="Y9" s="21" t="s">
        <v>108</v>
      </c>
      <c r="Z9" s="14">
        <v>2</v>
      </c>
      <c r="AA9" s="21" t="s">
        <v>107</v>
      </c>
      <c r="AB9" s="21" t="s">
        <v>107</v>
      </c>
      <c r="AC9" s="21" t="s">
        <v>107</v>
      </c>
      <c r="AD9" s="21" t="s">
        <v>107</v>
      </c>
      <c r="AE9" s="19">
        <v>5</v>
      </c>
      <c r="AF9" s="21" t="s">
        <v>108</v>
      </c>
      <c r="AG9" s="19"/>
      <c r="AH9" s="21" t="s">
        <v>108</v>
      </c>
      <c r="AI9" s="21" t="s">
        <v>108</v>
      </c>
      <c r="AJ9" s="14">
        <v>1</v>
      </c>
      <c r="AK9" s="14"/>
      <c r="AL9" s="14"/>
      <c r="AM9" s="21" t="s">
        <v>108</v>
      </c>
      <c r="AN9" s="19"/>
      <c r="AP9" s="17">
        <v>0.05</v>
      </c>
      <c r="AQ9" s="54">
        <f t="shared" si="3"/>
        <v>179533.2</v>
      </c>
      <c r="AR9" s="17">
        <v>0.05</v>
      </c>
      <c r="AS9" s="54">
        <f t="shared" si="4"/>
        <v>179533.2</v>
      </c>
      <c r="AT9" s="18">
        <v>21</v>
      </c>
      <c r="AU9" s="54">
        <f t="shared" si="5"/>
        <v>8549.2000000000007</v>
      </c>
      <c r="AV9" s="54">
        <f t="shared" si="6"/>
        <v>359066.4</v>
      </c>
      <c r="AW9" s="55">
        <f t="shared" si="7"/>
        <v>0.89999999999999991</v>
      </c>
      <c r="AX9" s="54">
        <f t="shared" si="8"/>
        <v>3231597.5999999996</v>
      </c>
      <c r="AZ9" s="22">
        <v>45748</v>
      </c>
      <c r="BB9" s="54">
        <f t="shared" si="9"/>
        <v>107719.92</v>
      </c>
      <c r="BC9" s="54">
        <f t="shared" si="10"/>
        <v>71813.279999999999</v>
      </c>
      <c r="BD9" s="16">
        <v>278500</v>
      </c>
      <c r="BE9" s="16">
        <v>181500</v>
      </c>
      <c r="BF9" s="54">
        <f t="shared" si="11"/>
        <v>639533.19999999995</v>
      </c>
      <c r="BH9" s="54">
        <f t="shared" si="12"/>
        <v>3231597.5999999996</v>
      </c>
      <c r="BI9" s="56">
        <f t="shared" si="13"/>
        <v>45779</v>
      </c>
      <c r="BJ9" s="57">
        <f t="shared" si="14"/>
        <v>0.12</v>
      </c>
      <c r="BK9" s="58">
        <f t="shared" si="14"/>
        <v>15</v>
      </c>
      <c r="BL9" s="54">
        <f t="shared" si="15"/>
        <v>38784.602290515861</v>
      </c>
      <c r="BM9" s="56">
        <f>TIPOLOGÍAS!AZ9+(TIPOLOGÍAS!BK9*365.25)</f>
        <v>51226.75</v>
      </c>
      <c r="BN9" s="54">
        <f t="shared" si="16"/>
        <v>6981228.4122928549</v>
      </c>
      <c r="BP9" s="16">
        <v>41.5</v>
      </c>
      <c r="BQ9" s="54">
        <f t="shared" si="17"/>
        <v>3677.73</v>
      </c>
      <c r="BR9" s="56">
        <f t="shared" si="18"/>
        <v>45779</v>
      </c>
      <c r="BS9" s="54">
        <f t="shared" si="19"/>
        <v>9237.9877093063606</v>
      </c>
      <c r="BT9" s="56">
        <f>TIPOLOGÍAS!AZ9+(TIPOLOGÍAS!BK9*365.25)</f>
        <v>51226.75</v>
      </c>
      <c r="BU9" s="54">
        <f t="shared" si="20"/>
        <v>1092077.8012127986</v>
      </c>
      <c r="BW9" s="16">
        <v>15140</v>
      </c>
      <c r="BX9" s="56">
        <f>TIPOLOGÍAS!AZ9+62</f>
        <v>45810</v>
      </c>
      <c r="BY9" s="59">
        <f t="shared" si="21"/>
        <v>6.8000000000000005E-2</v>
      </c>
      <c r="BZ9" s="54">
        <f t="shared" si="22"/>
        <v>40615.767613550583</v>
      </c>
      <c r="CA9" s="56">
        <f>TIPOLOGÍAS!AZ9+(TIPOLOGÍAS!BK9*365.25)</f>
        <v>51226.75</v>
      </c>
      <c r="CB9" s="67">
        <f t="shared" si="23"/>
        <v>11</v>
      </c>
      <c r="CC9" s="54">
        <f t="shared" si="24"/>
        <v>4090800.0551331816</v>
      </c>
      <c r="CE9" s="60">
        <f t="shared" si="25"/>
        <v>9071905.8135056533</v>
      </c>
      <c r="CF9" s="60">
        <f t="shared" si="26"/>
        <v>4981105.7583724717</v>
      </c>
      <c r="CG9" s="60">
        <f t="shared" ca="1" si="27"/>
        <v>29253.274134477277</v>
      </c>
      <c r="CH9" s="53">
        <f t="shared" ca="1" si="28"/>
        <v>7.891950277944984E-2</v>
      </c>
      <c r="CJ9" s="59">
        <f t="shared" si="29"/>
        <v>6.8000000000000005E-2</v>
      </c>
      <c r="CK9" s="61">
        <f t="shared" ca="1" si="30"/>
        <v>5182.75</v>
      </c>
      <c r="CL9" s="62">
        <f t="shared" ca="1" si="31"/>
        <v>170.27515400410678</v>
      </c>
      <c r="CM9" s="62">
        <f t="shared" ca="1" si="32"/>
        <v>14.189596167008899</v>
      </c>
      <c r="CN9" s="62" t="str">
        <f t="shared" ca="1" si="33"/>
        <v>14 años y 2 meses</v>
      </c>
      <c r="CO9" s="54">
        <f t="shared" ca="1" si="34"/>
        <v>9132492.0994933788</v>
      </c>
    </row>
    <row r="10" spans="2:94" hidden="1">
      <c r="B10" s="12">
        <v>8</v>
      </c>
      <c r="C10" s="48" t="s">
        <v>107</v>
      </c>
      <c r="D10" s="27" t="s">
        <v>160</v>
      </c>
      <c r="E10" s="27" t="s">
        <v>548</v>
      </c>
      <c r="F10" s="27" t="s">
        <v>546</v>
      </c>
      <c r="G10" s="28" t="s">
        <v>181</v>
      </c>
      <c r="I10" s="14" t="s">
        <v>545</v>
      </c>
      <c r="J10" s="14">
        <v>14</v>
      </c>
      <c r="K10" s="14" t="s">
        <v>544</v>
      </c>
      <c r="M10" s="19">
        <v>88.04</v>
      </c>
      <c r="N10" s="16">
        <v>3520663</v>
      </c>
      <c r="O10" s="50" t="s">
        <v>108</v>
      </c>
      <c r="P10" s="53">
        <f t="shared" si="0"/>
        <v>0</v>
      </c>
      <c r="Q10" s="16"/>
      <c r="R10" s="54">
        <f t="shared" si="1"/>
        <v>3520663</v>
      </c>
      <c r="S10" s="54">
        <f t="shared" si="2"/>
        <v>39989.357110404359</v>
      </c>
      <c r="U10" s="64" t="s">
        <v>108</v>
      </c>
      <c r="V10" s="64" t="s">
        <v>108</v>
      </c>
      <c r="X10" s="14">
        <v>2.9</v>
      </c>
      <c r="Y10" s="21" t="s">
        <v>108</v>
      </c>
      <c r="Z10" s="14">
        <v>1</v>
      </c>
      <c r="AA10" s="21" t="s">
        <v>107</v>
      </c>
      <c r="AB10" s="21" t="s">
        <v>107</v>
      </c>
      <c r="AC10" s="21" t="s">
        <v>107</v>
      </c>
      <c r="AD10" s="21" t="s">
        <v>107</v>
      </c>
      <c r="AE10" s="19">
        <v>6</v>
      </c>
      <c r="AF10" s="21" t="s">
        <v>108</v>
      </c>
      <c r="AG10" s="19"/>
      <c r="AH10" s="21" t="s">
        <v>108</v>
      </c>
      <c r="AI10" s="21" t="s">
        <v>108</v>
      </c>
      <c r="AJ10" s="14">
        <v>2</v>
      </c>
      <c r="AK10" s="14"/>
      <c r="AL10" s="14"/>
      <c r="AM10" s="21" t="s">
        <v>108</v>
      </c>
      <c r="AN10" s="19"/>
      <c r="AP10" s="17">
        <v>0.1</v>
      </c>
      <c r="AQ10" s="54">
        <f t="shared" si="3"/>
        <v>352066.30000000005</v>
      </c>
      <c r="AR10" s="17">
        <v>0.1</v>
      </c>
      <c r="AS10" s="54">
        <f t="shared" si="4"/>
        <v>352066.30000000005</v>
      </c>
      <c r="AT10" s="18">
        <v>18</v>
      </c>
      <c r="AU10" s="54">
        <f t="shared" si="5"/>
        <v>19559.238888888893</v>
      </c>
      <c r="AV10" s="54">
        <f t="shared" si="6"/>
        <v>704132.60000000009</v>
      </c>
      <c r="AW10" s="55">
        <f t="shared" si="7"/>
        <v>0.8</v>
      </c>
      <c r="AX10" s="54">
        <f t="shared" si="8"/>
        <v>2816530.4000000004</v>
      </c>
      <c r="AZ10" s="22">
        <v>45627</v>
      </c>
      <c r="BB10" s="54">
        <f t="shared" si="9"/>
        <v>105619.89</v>
      </c>
      <c r="BC10" s="54">
        <f t="shared" si="10"/>
        <v>70413.259999999995</v>
      </c>
      <c r="BD10" s="16">
        <v>302000</v>
      </c>
      <c r="BE10" s="16">
        <v>190500</v>
      </c>
      <c r="BF10" s="54">
        <f t="shared" si="11"/>
        <v>668533.15</v>
      </c>
      <c r="BH10" s="54">
        <f t="shared" si="12"/>
        <v>2816530.4000000004</v>
      </c>
      <c r="BI10" s="56">
        <f t="shared" si="13"/>
        <v>45658</v>
      </c>
      <c r="BJ10" s="57">
        <f t="shared" si="14"/>
        <v>0.12</v>
      </c>
      <c r="BK10" s="58">
        <f t="shared" si="14"/>
        <v>15</v>
      </c>
      <c r="BL10" s="54">
        <f t="shared" si="15"/>
        <v>33803.098319898359</v>
      </c>
      <c r="BM10" s="56">
        <f>TIPOLOGÍAS!AZ10+(TIPOLOGÍAS!BK10*365.25)</f>
        <v>51105.75</v>
      </c>
      <c r="BN10" s="54">
        <f t="shared" si="16"/>
        <v>6084557.6975817047</v>
      </c>
      <c r="BP10" s="16">
        <v>40.5</v>
      </c>
      <c r="BQ10" s="54">
        <f t="shared" si="17"/>
        <v>3565.6200000000003</v>
      </c>
      <c r="BR10" s="56">
        <f t="shared" si="18"/>
        <v>45658</v>
      </c>
      <c r="BS10" s="54">
        <f t="shared" si="19"/>
        <v>8956.3817180861424</v>
      </c>
      <c r="BT10" s="56">
        <f>TIPOLOGÍAS!AZ10+(TIPOLOGÍAS!BK10*365.25)</f>
        <v>51105.75</v>
      </c>
      <c r="BU10" s="54">
        <f t="shared" si="20"/>
        <v>1058787.4720439997</v>
      </c>
      <c r="BW10" s="16">
        <v>14480</v>
      </c>
      <c r="BX10" s="56">
        <f>TIPOLOGÍAS!AZ10+62</f>
        <v>45689</v>
      </c>
      <c r="BY10" s="59">
        <f t="shared" si="21"/>
        <v>6.8000000000000005E-2</v>
      </c>
      <c r="BZ10" s="54">
        <f t="shared" si="22"/>
        <v>38845.199144267659</v>
      </c>
      <c r="CA10" s="56">
        <f>TIPOLOGÍAS!AZ10+(TIPOLOGÍAS!BK10*365.25)</f>
        <v>51105.75</v>
      </c>
      <c r="CB10" s="67">
        <f t="shared" si="23"/>
        <v>11</v>
      </c>
      <c r="CC10" s="54">
        <f t="shared" si="24"/>
        <v>3912469.2733374154</v>
      </c>
      <c r="CE10" s="60">
        <f t="shared" si="25"/>
        <v>8516010.9196257051</v>
      </c>
      <c r="CF10" s="60">
        <f t="shared" si="26"/>
        <v>4603541.6462882897</v>
      </c>
      <c r="CG10" s="60">
        <f t="shared" ca="1" si="27"/>
        <v>27682.18478962806</v>
      </c>
      <c r="CH10" s="53">
        <f t="shared" ca="1" si="28"/>
        <v>8.5416245794573159E-2</v>
      </c>
      <c r="CJ10" s="59">
        <f t="shared" si="29"/>
        <v>6.8000000000000005E-2</v>
      </c>
      <c r="CK10" s="61">
        <f t="shared" ca="1" si="30"/>
        <v>5061.75</v>
      </c>
      <c r="CL10" s="62">
        <f t="shared" ca="1" si="31"/>
        <v>166.29979466119096</v>
      </c>
      <c r="CM10" s="62">
        <f t="shared" ca="1" si="32"/>
        <v>13.858316221765913</v>
      </c>
      <c r="CN10" s="62" t="str">
        <f t="shared" ca="1" si="33"/>
        <v>13 años y 10 meses</v>
      </c>
      <c r="CO10" s="54">
        <f t="shared" ca="1" si="34"/>
        <v>8761408.1175051797</v>
      </c>
    </row>
    <row r="11" spans="2:94" hidden="1">
      <c r="B11" s="12">
        <v>9</v>
      </c>
      <c r="C11" s="48" t="s">
        <v>107</v>
      </c>
      <c r="D11" s="27" t="s">
        <v>160</v>
      </c>
      <c r="E11" s="27" t="s">
        <v>164</v>
      </c>
      <c r="F11" s="27" t="s">
        <v>542</v>
      </c>
      <c r="G11" s="28" t="s">
        <v>549</v>
      </c>
      <c r="I11" s="14" t="s">
        <v>139</v>
      </c>
      <c r="J11" s="14">
        <v>7</v>
      </c>
      <c r="K11" s="14" t="s">
        <v>138</v>
      </c>
      <c r="M11" s="19">
        <v>45</v>
      </c>
      <c r="N11" s="16">
        <v>3450662</v>
      </c>
      <c r="O11" s="50" t="s">
        <v>108</v>
      </c>
      <c r="P11" s="53">
        <f t="shared" si="0"/>
        <v>0</v>
      </c>
      <c r="Q11" s="16"/>
      <c r="R11" s="54">
        <f t="shared" si="1"/>
        <v>3450662</v>
      </c>
      <c r="S11" s="54">
        <f t="shared" si="2"/>
        <v>76681.377777777772</v>
      </c>
      <c r="U11" s="64" t="s">
        <v>108</v>
      </c>
      <c r="V11" s="64" t="s">
        <v>108</v>
      </c>
      <c r="X11" s="14">
        <v>3.1</v>
      </c>
      <c r="Y11" s="21" t="s">
        <v>108</v>
      </c>
      <c r="Z11" s="14">
        <v>1</v>
      </c>
      <c r="AA11" s="21" t="s">
        <v>107</v>
      </c>
      <c r="AB11" s="21" t="s">
        <v>107</v>
      </c>
      <c r="AC11" s="21" t="s">
        <v>107</v>
      </c>
      <c r="AD11" s="21" t="s">
        <v>108</v>
      </c>
      <c r="AE11" s="19"/>
      <c r="AF11" s="21" t="s">
        <v>108</v>
      </c>
      <c r="AG11" s="19"/>
      <c r="AH11" s="21" t="s">
        <v>108</v>
      </c>
      <c r="AI11" s="21" t="s">
        <v>108</v>
      </c>
      <c r="AJ11" s="14">
        <v>2</v>
      </c>
      <c r="AK11" s="14"/>
      <c r="AL11" s="14"/>
      <c r="AM11" s="21" t="s">
        <v>108</v>
      </c>
      <c r="AN11" s="19"/>
      <c r="AP11" s="17">
        <v>0.1</v>
      </c>
      <c r="AQ11" s="54">
        <f t="shared" si="3"/>
        <v>345066.2</v>
      </c>
      <c r="AR11" s="17">
        <v>0.1</v>
      </c>
      <c r="AS11" s="54">
        <f t="shared" si="4"/>
        <v>345066.2</v>
      </c>
      <c r="AT11" s="18">
        <v>30</v>
      </c>
      <c r="AU11" s="54">
        <f t="shared" si="5"/>
        <v>11502.206666666667</v>
      </c>
      <c r="AV11" s="54">
        <f t="shared" si="6"/>
        <v>690132.4</v>
      </c>
      <c r="AW11" s="55">
        <f t="shared" si="7"/>
        <v>0.8</v>
      </c>
      <c r="AX11" s="54">
        <f t="shared" si="8"/>
        <v>2760529.5999999996</v>
      </c>
      <c r="AZ11" s="22">
        <v>45597</v>
      </c>
      <c r="BB11" s="54">
        <f t="shared" si="9"/>
        <v>103519.86</v>
      </c>
      <c r="BC11" s="54">
        <f t="shared" si="10"/>
        <v>69013.240000000005</v>
      </c>
      <c r="BD11" s="16">
        <v>325500</v>
      </c>
      <c r="BE11" s="16">
        <v>199500</v>
      </c>
      <c r="BF11" s="54">
        <f t="shared" si="11"/>
        <v>697533.1</v>
      </c>
      <c r="BH11" s="54">
        <f t="shared" si="12"/>
        <v>2760529.5999999996</v>
      </c>
      <c r="BI11" s="56">
        <f t="shared" si="13"/>
        <v>45628</v>
      </c>
      <c r="BJ11" s="57">
        <f t="shared" si="14"/>
        <v>0.12</v>
      </c>
      <c r="BK11" s="58">
        <f t="shared" si="14"/>
        <v>15</v>
      </c>
      <c r="BL11" s="54">
        <f t="shared" si="15"/>
        <v>33130.994603782608</v>
      </c>
      <c r="BM11" s="56">
        <f>TIPOLOGÍAS!AZ11+(TIPOLOGÍAS!BK11*365.25)</f>
        <v>51075.75</v>
      </c>
      <c r="BN11" s="54">
        <f t="shared" si="16"/>
        <v>5963579.0286808694</v>
      </c>
      <c r="BP11" s="16">
        <v>39.5</v>
      </c>
      <c r="BQ11" s="54">
        <f t="shared" si="17"/>
        <v>1777.5</v>
      </c>
      <c r="BR11" s="56">
        <f t="shared" si="18"/>
        <v>45628</v>
      </c>
      <c r="BS11" s="54">
        <f t="shared" si="19"/>
        <v>4464.8528177142034</v>
      </c>
      <c r="BT11" s="56">
        <f>TIPOLOGÍAS!AZ11+(TIPOLOGÍAS!BK11*365.25)</f>
        <v>51075.75</v>
      </c>
      <c r="BU11" s="54">
        <f t="shared" si="20"/>
        <v>527816.9663503709</v>
      </c>
      <c r="BW11" s="16">
        <v>13820</v>
      </c>
      <c r="BX11" s="56">
        <f>TIPOLOGÍAS!AZ11+62</f>
        <v>45659</v>
      </c>
      <c r="BY11" s="59">
        <f t="shared" si="21"/>
        <v>6.8000000000000005E-2</v>
      </c>
      <c r="BZ11" s="54">
        <f t="shared" si="22"/>
        <v>37074.630674984743</v>
      </c>
      <c r="CA11" s="56">
        <f>TIPOLOGÍAS!AZ11+(TIPOLOGÍAS!BK11*365.25)</f>
        <v>51075.75</v>
      </c>
      <c r="CB11" s="67">
        <f t="shared" si="23"/>
        <v>11</v>
      </c>
      <c r="CC11" s="54">
        <f t="shared" si="24"/>
        <v>3734138.4915416492</v>
      </c>
      <c r="CE11" s="60">
        <f t="shared" si="25"/>
        <v>7879061.4950312404</v>
      </c>
      <c r="CF11" s="60">
        <f t="shared" si="26"/>
        <v>4144923.0034895912</v>
      </c>
      <c r="CG11" s="60">
        <f t="shared" ca="1" si="27"/>
        <v>25073.005200718322</v>
      </c>
      <c r="CH11" s="53">
        <f t="shared" ca="1" si="28"/>
        <v>9.5644320358730051E-2</v>
      </c>
      <c r="CJ11" s="59">
        <f t="shared" si="29"/>
        <v>6.8000000000000005E-2</v>
      </c>
      <c r="CK11" s="61">
        <f t="shared" ca="1" si="30"/>
        <v>5031.75</v>
      </c>
      <c r="CL11" s="62">
        <f t="shared" ca="1" si="31"/>
        <v>165.31416837782342</v>
      </c>
      <c r="CM11" s="62">
        <f t="shared" ca="1" si="32"/>
        <v>13.776180698151952</v>
      </c>
      <c r="CN11" s="62" t="str">
        <f t="shared" ca="1" si="33"/>
        <v>13 años y 9 meses</v>
      </c>
      <c r="CO11" s="54">
        <f t="shared" ca="1" si="34"/>
        <v>8540929.9735206533</v>
      </c>
    </row>
    <row r="12" spans="2:94" hidden="1">
      <c r="B12" s="3">
        <v>10</v>
      </c>
      <c r="C12" s="48" t="s">
        <v>107</v>
      </c>
      <c r="D12" s="27" t="s">
        <v>160</v>
      </c>
      <c r="E12" s="27" t="s">
        <v>138</v>
      </c>
      <c r="F12" s="27" t="s">
        <v>537</v>
      </c>
      <c r="G12" s="28" t="s">
        <v>173</v>
      </c>
      <c r="I12" s="14" t="s">
        <v>111</v>
      </c>
      <c r="J12" s="14">
        <v>12</v>
      </c>
      <c r="K12" s="14" t="s">
        <v>138</v>
      </c>
      <c r="M12" s="19">
        <v>86.88</v>
      </c>
      <c r="N12" s="16">
        <v>3380661</v>
      </c>
      <c r="O12" s="50" t="s">
        <v>108</v>
      </c>
      <c r="P12" s="53">
        <f t="shared" si="0"/>
        <v>0</v>
      </c>
      <c r="Q12" s="16"/>
      <c r="R12" s="54">
        <f t="shared" si="1"/>
        <v>3380661</v>
      </c>
      <c r="S12" s="54">
        <f t="shared" si="2"/>
        <v>38911.843922651933</v>
      </c>
      <c r="U12" s="64" t="s">
        <v>108</v>
      </c>
      <c r="V12" s="64" t="s">
        <v>108</v>
      </c>
      <c r="X12" s="14">
        <v>3.3</v>
      </c>
      <c r="Y12" s="21" t="s">
        <v>108</v>
      </c>
      <c r="Z12" s="14">
        <v>2</v>
      </c>
      <c r="AA12" s="21" t="s">
        <v>107</v>
      </c>
      <c r="AB12" s="21" t="s">
        <v>107</v>
      </c>
      <c r="AC12" s="21" t="s">
        <v>107</v>
      </c>
      <c r="AD12" s="21" t="s">
        <v>108</v>
      </c>
      <c r="AE12" s="19"/>
      <c r="AF12" s="21" t="s">
        <v>108</v>
      </c>
      <c r="AG12" s="19"/>
      <c r="AH12" s="21" t="s">
        <v>108</v>
      </c>
      <c r="AI12" s="21" t="s">
        <v>108</v>
      </c>
      <c r="AJ12" s="14">
        <v>2</v>
      </c>
      <c r="AK12" s="14"/>
      <c r="AL12" s="14"/>
      <c r="AM12" s="21" t="s">
        <v>108</v>
      </c>
      <c r="AN12" s="19"/>
      <c r="AP12" s="17">
        <v>0.1</v>
      </c>
      <c r="AQ12" s="54">
        <f t="shared" si="3"/>
        <v>338066.10000000003</v>
      </c>
      <c r="AR12" s="17">
        <v>0.1</v>
      </c>
      <c r="AS12" s="54">
        <f t="shared" si="4"/>
        <v>338066.10000000003</v>
      </c>
      <c r="AT12" s="18">
        <v>24</v>
      </c>
      <c r="AU12" s="54">
        <f t="shared" si="5"/>
        <v>14086.087500000001</v>
      </c>
      <c r="AV12" s="54">
        <f t="shared" si="6"/>
        <v>676132.20000000007</v>
      </c>
      <c r="AW12" s="55">
        <f t="shared" si="7"/>
        <v>0.8</v>
      </c>
      <c r="AX12" s="54">
        <f t="shared" si="8"/>
        <v>2704528.8</v>
      </c>
      <c r="AZ12" s="22">
        <v>45261</v>
      </c>
      <c r="BB12" s="54">
        <f t="shared" si="9"/>
        <v>101419.83</v>
      </c>
      <c r="BC12" s="54">
        <f t="shared" si="10"/>
        <v>67613.22</v>
      </c>
      <c r="BD12" s="16">
        <v>349000</v>
      </c>
      <c r="BE12" s="16">
        <v>208500</v>
      </c>
      <c r="BF12" s="54">
        <f t="shared" si="11"/>
        <v>726533.05</v>
      </c>
      <c r="BH12" s="54">
        <f t="shared" si="12"/>
        <v>2704528.8</v>
      </c>
      <c r="BI12" s="56">
        <f t="shared" si="13"/>
        <v>45292</v>
      </c>
      <c r="BJ12" s="57">
        <f t="shared" si="14"/>
        <v>0.12</v>
      </c>
      <c r="BK12" s="58">
        <f t="shared" si="14"/>
        <v>15</v>
      </c>
      <c r="BL12" s="54">
        <f t="shared" si="15"/>
        <v>32458.890887666868</v>
      </c>
      <c r="BM12" s="56">
        <f>TIPOLOGÍAS!AZ12+(TIPOLOGÍAS!BK12*365.25)</f>
        <v>50739.75</v>
      </c>
      <c r="BN12" s="54">
        <f t="shared" si="16"/>
        <v>5842600.3597800368</v>
      </c>
      <c r="BP12" s="16">
        <v>38.5</v>
      </c>
      <c r="BQ12" s="54">
        <f t="shared" si="17"/>
        <v>3344.8799999999997</v>
      </c>
      <c r="BR12" s="56">
        <f t="shared" si="18"/>
        <v>45292</v>
      </c>
      <c r="BS12" s="54">
        <f t="shared" si="19"/>
        <v>8401.9110508668819</v>
      </c>
      <c r="BT12" s="56">
        <f>TIPOLOGÍAS!AZ12+(TIPOLOGÍAS!BK12*365.25)</f>
        <v>50739.75</v>
      </c>
      <c r="BU12" s="54">
        <f t="shared" si="20"/>
        <v>993240.17688102869</v>
      </c>
      <c r="BW12" s="16">
        <v>13160</v>
      </c>
      <c r="BX12" s="56">
        <f>TIPOLOGÍAS!AZ12+62</f>
        <v>45323</v>
      </c>
      <c r="BY12" s="59">
        <f t="shared" si="21"/>
        <v>6.8000000000000005E-2</v>
      </c>
      <c r="BZ12" s="54">
        <f t="shared" si="22"/>
        <v>35304.062205701826</v>
      </c>
      <c r="CA12" s="56">
        <f>TIPOLOGÍAS!AZ12+(TIPOLOGÍAS!BK12*365.25)</f>
        <v>50739.75</v>
      </c>
      <c r="CB12" s="67">
        <f t="shared" si="23"/>
        <v>11</v>
      </c>
      <c r="CC12" s="54">
        <f t="shared" si="24"/>
        <v>3555807.709745883</v>
      </c>
      <c r="CE12" s="60">
        <f t="shared" si="25"/>
        <v>8238505.7866610652</v>
      </c>
      <c r="CF12" s="60">
        <f t="shared" si="26"/>
        <v>4682698.0769151822</v>
      </c>
      <c r="CG12" s="60">
        <f t="shared" ca="1" si="27"/>
        <v>30352.898411564893</v>
      </c>
      <c r="CH12" s="53">
        <f t="shared" ca="1" si="28"/>
        <v>7.5582089477100364E-2</v>
      </c>
      <c r="CJ12" s="59">
        <f t="shared" si="29"/>
        <v>6.8000000000000005E-2</v>
      </c>
      <c r="CK12" s="61">
        <f t="shared" ca="1" si="30"/>
        <v>4695.75</v>
      </c>
      <c r="CL12" s="62">
        <f t="shared" ca="1" si="31"/>
        <v>154.27515400410678</v>
      </c>
      <c r="CM12" s="62">
        <f t="shared" ca="1" si="32"/>
        <v>12.856262833675565</v>
      </c>
      <c r="CN12" s="62" t="str">
        <f t="shared" ca="1" si="33"/>
        <v>12 años y 10 meses</v>
      </c>
      <c r="CO12" s="54">
        <f t="shared" ca="1" si="34"/>
        <v>7876280.1961938217</v>
      </c>
    </row>
    <row r="13" spans="2:94" hidden="1">
      <c r="B13" s="11">
        <v>11</v>
      </c>
      <c r="C13" s="48" t="s">
        <v>107</v>
      </c>
      <c r="D13" s="27" t="s">
        <v>160</v>
      </c>
      <c r="E13" s="27" t="s">
        <v>541</v>
      </c>
      <c r="F13" s="27" t="s">
        <v>547</v>
      </c>
      <c r="G13" s="28" t="s">
        <v>174</v>
      </c>
      <c r="I13" s="14" t="s">
        <v>540</v>
      </c>
      <c r="J13" s="14">
        <v>21</v>
      </c>
      <c r="K13" s="14" t="s">
        <v>539</v>
      </c>
      <c r="M13" s="19">
        <v>86.3</v>
      </c>
      <c r="N13" s="16">
        <v>3310660</v>
      </c>
      <c r="O13" s="50" t="s">
        <v>108</v>
      </c>
      <c r="P13" s="53">
        <f t="shared" si="0"/>
        <v>0</v>
      </c>
      <c r="Q13" s="16"/>
      <c r="R13" s="54">
        <f t="shared" si="1"/>
        <v>3310660</v>
      </c>
      <c r="S13" s="54">
        <f t="shared" si="2"/>
        <v>38362.224797219002</v>
      </c>
      <c r="U13" s="64" t="s">
        <v>108</v>
      </c>
      <c r="V13" s="64" t="s">
        <v>108</v>
      </c>
      <c r="X13" s="14">
        <v>3.5</v>
      </c>
      <c r="Y13" s="21" t="s">
        <v>108</v>
      </c>
      <c r="Z13" s="14">
        <v>1.5</v>
      </c>
      <c r="AA13" s="21" t="s">
        <v>107</v>
      </c>
      <c r="AB13" s="21" t="s">
        <v>107</v>
      </c>
      <c r="AC13" s="21" t="s">
        <v>107</v>
      </c>
      <c r="AD13" s="21" t="s">
        <v>107</v>
      </c>
      <c r="AE13" s="19">
        <v>6</v>
      </c>
      <c r="AF13" s="21" t="s">
        <v>108</v>
      </c>
      <c r="AG13" s="19"/>
      <c r="AH13" s="21" t="s">
        <v>108</v>
      </c>
      <c r="AI13" s="21" t="s">
        <v>108</v>
      </c>
      <c r="AJ13" s="14">
        <v>2</v>
      </c>
      <c r="AK13" s="14"/>
      <c r="AL13" s="14"/>
      <c r="AM13" s="21" t="s">
        <v>108</v>
      </c>
      <c r="AN13" s="19"/>
      <c r="AP13" s="17">
        <v>0.1</v>
      </c>
      <c r="AQ13" s="54">
        <f t="shared" si="3"/>
        <v>331066</v>
      </c>
      <c r="AR13" s="17">
        <v>0.1</v>
      </c>
      <c r="AS13" s="54">
        <f t="shared" si="4"/>
        <v>331066</v>
      </c>
      <c r="AT13" s="18">
        <v>23</v>
      </c>
      <c r="AU13" s="54">
        <f t="shared" si="5"/>
        <v>14394.173913043478</v>
      </c>
      <c r="AV13" s="54">
        <f t="shared" si="6"/>
        <v>662132</v>
      </c>
      <c r="AW13" s="55">
        <f t="shared" si="7"/>
        <v>0.8</v>
      </c>
      <c r="AX13" s="54">
        <f t="shared" si="8"/>
        <v>2648528</v>
      </c>
      <c r="AZ13" s="22">
        <v>45748</v>
      </c>
      <c r="BB13" s="54">
        <f t="shared" si="9"/>
        <v>99319.8</v>
      </c>
      <c r="BC13" s="54">
        <f t="shared" si="10"/>
        <v>66213.2</v>
      </c>
      <c r="BD13" s="16">
        <v>235000</v>
      </c>
      <c r="BE13" s="16">
        <v>217500</v>
      </c>
      <c r="BF13" s="54">
        <f t="shared" si="11"/>
        <v>618033</v>
      </c>
      <c r="BH13" s="54">
        <f t="shared" si="12"/>
        <v>2648528</v>
      </c>
      <c r="BI13" s="56">
        <f t="shared" si="13"/>
        <v>45779</v>
      </c>
      <c r="BJ13" s="57">
        <f t="shared" si="14"/>
        <v>0.12</v>
      </c>
      <c r="BK13" s="58">
        <f t="shared" si="14"/>
        <v>15</v>
      </c>
      <c r="BL13" s="54">
        <f t="shared" si="15"/>
        <v>31786.787171551125</v>
      </c>
      <c r="BM13" s="56">
        <f>TIPOLOGÍAS!AZ13+(TIPOLOGÍAS!BK13*365.25)</f>
        <v>51226.75</v>
      </c>
      <c r="BN13" s="54">
        <f t="shared" si="16"/>
        <v>5721621.6908792024</v>
      </c>
      <c r="BP13" s="16">
        <v>37.5</v>
      </c>
      <c r="BQ13" s="54">
        <f t="shared" si="17"/>
        <v>3236.25</v>
      </c>
      <c r="BR13" s="56">
        <f t="shared" si="18"/>
        <v>45779</v>
      </c>
      <c r="BS13" s="54">
        <f t="shared" si="19"/>
        <v>8129.0463748678421</v>
      </c>
      <c r="BT13" s="56">
        <f>TIPOLOGÍAS!AZ13+(TIPOLOGÍAS!BK13*365.25)</f>
        <v>51226.75</v>
      </c>
      <c r="BU13" s="54">
        <f t="shared" si="20"/>
        <v>960983.21088685666</v>
      </c>
      <c r="BW13" s="16">
        <v>12500</v>
      </c>
      <c r="BX13" s="56">
        <f>TIPOLOGÍAS!AZ13+62</f>
        <v>45810</v>
      </c>
      <c r="BY13" s="59">
        <f t="shared" si="21"/>
        <v>6.8000000000000005E-2</v>
      </c>
      <c r="BZ13" s="54">
        <f t="shared" si="22"/>
        <v>33533.49373641891</v>
      </c>
      <c r="CA13" s="56">
        <f>TIPOLOGÍAS!AZ13+(TIPOLOGÍAS!BK13*365.25)</f>
        <v>51226.75</v>
      </c>
      <c r="CB13" s="67">
        <f t="shared" si="23"/>
        <v>11</v>
      </c>
      <c r="CC13" s="54">
        <f t="shared" si="24"/>
        <v>3377476.9279501168</v>
      </c>
      <c r="CE13" s="60">
        <f t="shared" si="25"/>
        <v>7962769.901766059</v>
      </c>
      <c r="CF13" s="60">
        <f t="shared" si="26"/>
        <v>4585292.9738159422</v>
      </c>
      <c r="CG13" s="60">
        <f t="shared" ca="1" si="27"/>
        <v>26928.726041295209</v>
      </c>
      <c r="CH13" s="53">
        <f t="shared" ca="1" si="28"/>
        <v>7.9113435538318538E-2</v>
      </c>
      <c r="CJ13" s="59">
        <f t="shared" si="29"/>
        <v>6.8000000000000005E-2</v>
      </c>
      <c r="CK13" s="61">
        <f t="shared" ca="1" si="30"/>
        <v>5182.75</v>
      </c>
      <c r="CL13" s="62">
        <f t="shared" ca="1" si="31"/>
        <v>170.27515400410678</v>
      </c>
      <c r="CM13" s="62">
        <f t="shared" ca="1" si="32"/>
        <v>14.189596167008899</v>
      </c>
      <c r="CN13" s="62" t="str">
        <f t="shared" ca="1" si="33"/>
        <v>14 años y 2 meses</v>
      </c>
      <c r="CO13" s="54">
        <f t="shared" ca="1" si="34"/>
        <v>8420330.1378543768</v>
      </c>
    </row>
    <row r="14" spans="2:94" hidden="1">
      <c r="B14" s="12">
        <v>12</v>
      </c>
      <c r="C14" s="48" t="s">
        <v>107</v>
      </c>
      <c r="D14" s="27" t="s">
        <v>160</v>
      </c>
      <c r="E14" s="27" t="s">
        <v>543</v>
      </c>
      <c r="F14" s="27" t="s">
        <v>100</v>
      </c>
      <c r="G14" s="28" t="s">
        <v>175</v>
      </c>
      <c r="I14" s="14" t="s">
        <v>545</v>
      </c>
      <c r="J14" s="14">
        <v>20</v>
      </c>
      <c r="K14" s="14" t="s">
        <v>544</v>
      </c>
      <c r="M14" s="19">
        <v>67</v>
      </c>
      <c r="N14" s="16">
        <v>3240659</v>
      </c>
      <c r="O14" s="50" t="s">
        <v>108</v>
      </c>
      <c r="P14" s="53">
        <f t="shared" si="0"/>
        <v>0</v>
      </c>
      <c r="Q14" s="16"/>
      <c r="R14" s="54">
        <f t="shared" si="1"/>
        <v>3240659</v>
      </c>
      <c r="S14" s="54">
        <f t="shared" si="2"/>
        <v>48368.044776119401</v>
      </c>
      <c r="U14" s="64" t="s">
        <v>108</v>
      </c>
      <c r="V14" s="64" t="s">
        <v>108</v>
      </c>
      <c r="X14" s="14">
        <v>3.7</v>
      </c>
      <c r="Y14" s="21" t="s">
        <v>108</v>
      </c>
      <c r="Z14" s="14">
        <v>2</v>
      </c>
      <c r="AA14" s="21" t="s">
        <v>107</v>
      </c>
      <c r="AB14" s="21" t="s">
        <v>107</v>
      </c>
      <c r="AC14" s="21" t="s">
        <v>107</v>
      </c>
      <c r="AD14" s="21" t="s">
        <v>107</v>
      </c>
      <c r="AE14" s="19">
        <v>7</v>
      </c>
      <c r="AF14" s="21" t="s">
        <v>108</v>
      </c>
      <c r="AG14" s="19"/>
      <c r="AH14" s="21" t="s">
        <v>108</v>
      </c>
      <c r="AI14" s="21" t="s">
        <v>108</v>
      </c>
      <c r="AJ14" s="14">
        <v>1</v>
      </c>
      <c r="AK14" s="14"/>
      <c r="AL14" s="14"/>
      <c r="AM14" s="21" t="s">
        <v>108</v>
      </c>
      <c r="AN14" s="19"/>
      <c r="AP14" s="17">
        <v>0.05</v>
      </c>
      <c r="AQ14" s="54">
        <f t="shared" si="3"/>
        <v>162032.95000000001</v>
      </c>
      <c r="AR14" s="17">
        <v>0.05</v>
      </c>
      <c r="AS14" s="54">
        <f t="shared" si="4"/>
        <v>162032.95000000001</v>
      </c>
      <c r="AT14" s="18">
        <v>26</v>
      </c>
      <c r="AU14" s="54">
        <f t="shared" si="5"/>
        <v>6232.0365384615388</v>
      </c>
      <c r="AV14" s="54">
        <f t="shared" si="6"/>
        <v>324065.90000000002</v>
      </c>
      <c r="AW14" s="55">
        <f t="shared" si="7"/>
        <v>0.89999999999999991</v>
      </c>
      <c r="AX14" s="54">
        <f t="shared" si="8"/>
        <v>2916593.0999999996</v>
      </c>
      <c r="AZ14" s="22">
        <v>45627</v>
      </c>
      <c r="BB14" s="54">
        <f t="shared" si="9"/>
        <v>97219.76999999999</v>
      </c>
      <c r="BC14" s="54">
        <f t="shared" si="10"/>
        <v>64813.18</v>
      </c>
      <c r="BD14" s="16">
        <v>255000</v>
      </c>
      <c r="BE14" s="16">
        <v>226500</v>
      </c>
      <c r="BF14" s="54">
        <f t="shared" si="11"/>
        <v>643532.94999999995</v>
      </c>
      <c r="BH14" s="54">
        <f t="shared" si="12"/>
        <v>2916593.0999999996</v>
      </c>
      <c r="BI14" s="56">
        <f t="shared" si="13"/>
        <v>45658</v>
      </c>
      <c r="BJ14" s="57">
        <f t="shared" si="14"/>
        <v>0.12</v>
      </c>
      <c r="BK14" s="58">
        <f t="shared" si="14"/>
        <v>15</v>
      </c>
      <c r="BL14" s="54">
        <f t="shared" si="15"/>
        <v>35004.018887364793</v>
      </c>
      <c r="BM14" s="56">
        <f>TIPOLOGÍAS!AZ14+(TIPOLOGÍAS!BK14*365.25)</f>
        <v>51105.75</v>
      </c>
      <c r="BN14" s="54">
        <f t="shared" si="16"/>
        <v>6300723.3997256625</v>
      </c>
      <c r="BP14" s="16">
        <v>36.5</v>
      </c>
      <c r="BQ14" s="54">
        <f t="shared" si="17"/>
        <v>2445.5</v>
      </c>
      <c r="BR14" s="56">
        <f t="shared" si="18"/>
        <v>45658</v>
      </c>
      <c r="BS14" s="54">
        <f t="shared" si="19"/>
        <v>6142.7834406301454</v>
      </c>
      <c r="BT14" s="56">
        <f>TIPOLOGÍAS!AZ14+(TIPOLOGÍAS!BK14*365.25)</f>
        <v>51105.75</v>
      </c>
      <c r="BU14" s="54">
        <f t="shared" si="20"/>
        <v>726175.18492817553</v>
      </c>
      <c r="BW14" s="16">
        <v>11840</v>
      </c>
      <c r="BX14" s="56">
        <f>TIPOLOGÍAS!AZ14+62</f>
        <v>45689</v>
      </c>
      <c r="BY14" s="59">
        <f t="shared" si="21"/>
        <v>6.8000000000000005E-2</v>
      </c>
      <c r="BZ14" s="54">
        <f t="shared" si="22"/>
        <v>31762.92526713599</v>
      </c>
      <c r="CA14" s="56">
        <f>TIPOLOGÍAS!AZ14+(TIPOLOGÍAS!BK14*365.25)</f>
        <v>51105.75</v>
      </c>
      <c r="CB14" s="67">
        <f t="shared" si="23"/>
        <v>11</v>
      </c>
      <c r="CC14" s="54">
        <f t="shared" si="24"/>
        <v>3199146.1461543506</v>
      </c>
      <c r="CE14" s="60">
        <f t="shared" si="25"/>
        <v>7994497.4346538372</v>
      </c>
      <c r="CF14" s="60">
        <f t="shared" si="26"/>
        <v>4795351.2884994866</v>
      </c>
      <c r="CG14" s="60">
        <f t="shared" ca="1" si="27"/>
        <v>28835.58153676162</v>
      </c>
      <c r="CH14" s="53">
        <f t="shared" ca="1" si="28"/>
        <v>7.0054274047879422E-2</v>
      </c>
      <c r="CJ14" s="59">
        <f t="shared" si="29"/>
        <v>6.8000000000000005E-2</v>
      </c>
      <c r="CK14" s="61">
        <f t="shared" ca="1" si="30"/>
        <v>5061.75</v>
      </c>
      <c r="CL14" s="62">
        <f t="shared" ca="1" si="31"/>
        <v>166.29979466119096</v>
      </c>
      <c r="CM14" s="62">
        <f t="shared" ca="1" si="32"/>
        <v>13.858316221765913</v>
      </c>
      <c r="CN14" s="62" t="str">
        <f t="shared" ca="1" si="33"/>
        <v>13 años y 10 meses</v>
      </c>
      <c r="CO14" s="54">
        <f t="shared" ca="1" si="34"/>
        <v>8064599.2157347118</v>
      </c>
    </row>
    <row r="15" spans="2:94" hidden="1">
      <c r="B15" s="12">
        <v>13</v>
      </c>
      <c r="C15" s="48" t="s">
        <v>107</v>
      </c>
      <c r="D15" s="27" t="s">
        <v>160</v>
      </c>
      <c r="E15" s="27" t="s">
        <v>172</v>
      </c>
      <c r="F15" s="27" t="s">
        <v>546</v>
      </c>
      <c r="G15" s="28" t="s">
        <v>176</v>
      </c>
      <c r="I15" s="14" t="s">
        <v>139</v>
      </c>
      <c r="J15" s="14">
        <v>8</v>
      </c>
      <c r="K15" s="14" t="s">
        <v>138</v>
      </c>
      <c r="M15" s="19">
        <v>85.14</v>
      </c>
      <c r="N15" s="16">
        <v>3170658</v>
      </c>
      <c r="O15" s="50" t="s">
        <v>108</v>
      </c>
      <c r="P15" s="53">
        <f t="shared" si="0"/>
        <v>0</v>
      </c>
      <c r="Q15" s="16"/>
      <c r="R15" s="54">
        <f t="shared" si="1"/>
        <v>3170658</v>
      </c>
      <c r="S15" s="54">
        <f t="shared" si="2"/>
        <v>37240.521494009867</v>
      </c>
      <c r="U15" s="64" t="s">
        <v>108</v>
      </c>
      <c r="V15" s="64" t="s">
        <v>108</v>
      </c>
      <c r="X15" s="14">
        <v>3.9</v>
      </c>
      <c r="Y15" s="21" t="s">
        <v>108</v>
      </c>
      <c r="Z15" s="14">
        <v>2</v>
      </c>
      <c r="AA15" s="21" t="s">
        <v>107</v>
      </c>
      <c r="AB15" s="21" t="s">
        <v>107</v>
      </c>
      <c r="AC15" s="21" t="s">
        <v>107</v>
      </c>
      <c r="AD15" s="21" t="s">
        <v>107</v>
      </c>
      <c r="AE15" s="19">
        <v>7</v>
      </c>
      <c r="AF15" s="21" t="s">
        <v>108</v>
      </c>
      <c r="AG15" s="19"/>
      <c r="AH15" s="21" t="s">
        <v>108</v>
      </c>
      <c r="AI15" s="21" t="s">
        <v>108</v>
      </c>
      <c r="AJ15" s="14">
        <v>2</v>
      </c>
      <c r="AK15" s="14"/>
      <c r="AL15" s="14"/>
      <c r="AM15" s="21" t="s">
        <v>108</v>
      </c>
      <c r="AN15" s="19"/>
      <c r="AP15" s="17">
        <v>0.1</v>
      </c>
      <c r="AQ15" s="54">
        <f t="shared" si="3"/>
        <v>317065.80000000005</v>
      </c>
      <c r="AR15" s="17">
        <v>0.1</v>
      </c>
      <c r="AS15" s="54">
        <f t="shared" si="4"/>
        <v>317065.80000000005</v>
      </c>
      <c r="AT15" s="18">
        <v>21</v>
      </c>
      <c r="AU15" s="54">
        <f t="shared" si="5"/>
        <v>15098.37142857143</v>
      </c>
      <c r="AV15" s="54">
        <f t="shared" si="6"/>
        <v>634131.60000000009</v>
      </c>
      <c r="AW15" s="55">
        <f t="shared" si="7"/>
        <v>0.8</v>
      </c>
      <c r="AX15" s="54">
        <f t="shared" si="8"/>
        <v>2536526.4000000004</v>
      </c>
      <c r="AZ15" s="22">
        <v>45597</v>
      </c>
      <c r="BB15" s="54">
        <f t="shared" si="9"/>
        <v>95119.739999999991</v>
      </c>
      <c r="BC15" s="54">
        <f t="shared" si="10"/>
        <v>63413.16</v>
      </c>
      <c r="BD15" s="16">
        <v>278500</v>
      </c>
      <c r="BE15" s="16">
        <v>235500</v>
      </c>
      <c r="BF15" s="54">
        <f t="shared" si="11"/>
        <v>672532.9</v>
      </c>
      <c r="BH15" s="54">
        <f t="shared" si="12"/>
        <v>2536526.4000000004</v>
      </c>
      <c r="BI15" s="56">
        <f t="shared" si="13"/>
        <v>45628</v>
      </c>
      <c r="BJ15" s="57">
        <f t="shared" si="14"/>
        <v>0.12</v>
      </c>
      <c r="BK15" s="58">
        <f t="shared" si="14"/>
        <v>15</v>
      </c>
      <c r="BL15" s="54">
        <f t="shared" si="15"/>
        <v>30442.579739319637</v>
      </c>
      <c r="BM15" s="56">
        <f>TIPOLOGÍAS!AZ15+(TIPOLOGÍAS!BK15*365.25)</f>
        <v>51075.75</v>
      </c>
      <c r="BN15" s="54">
        <f t="shared" si="16"/>
        <v>5479664.3530775346</v>
      </c>
      <c r="BP15" s="16">
        <v>35.5</v>
      </c>
      <c r="BQ15" s="54">
        <f t="shared" si="17"/>
        <v>3022.47</v>
      </c>
      <c r="BR15" s="56">
        <f t="shared" si="18"/>
        <v>45628</v>
      </c>
      <c r="BS15" s="54">
        <f t="shared" si="19"/>
        <v>7592.0583380909402</v>
      </c>
      <c r="BT15" s="56">
        <f>TIPOLOGÍAS!AZ15+(TIPOLOGÍAS!BK15*365.25)</f>
        <v>51075.75</v>
      </c>
      <c r="BU15" s="54">
        <f t="shared" si="20"/>
        <v>897502.64207313943</v>
      </c>
      <c r="BW15" s="16">
        <v>11180</v>
      </c>
      <c r="BX15" s="56">
        <f>TIPOLOGÍAS!AZ15+62</f>
        <v>45659</v>
      </c>
      <c r="BY15" s="59">
        <f t="shared" si="21"/>
        <v>6.8000000000000005E-2</v>
      </c>
      <c r="BZ15" s="54">
        <f t="shared" si="22"/>
        <v>29992.35679785307</v>
      </c>
      <c r="CA15" s="56">
        <f>TIPOLOGÍAS!AZ15+(TIPOLOGÍAS!BK15*365.25)</f>
        <v>51075.75</v>
      </c>
      <c r="CB15" s="67">
        <f t="shared" si="23"/>
        <v>11</v>
      </c>
      <c r="CC15" s="54">
        <f t="shared" si="24"/>
        <v>3020815.3643585844</v>
      </c>
      <c r="CE15" s="60">
        <f t="shared" si="25"/>
        <v>7683831.4951506741</v>
      </c>
      <c r="CF15" s="60">
        <f t="shared" si="26"/>
        <v>4663016.1307920897</v>
      </c>
      <c r="CG15" s="60">
        <f t="shared" ca="1" si="27"/>
        <v>28206.996269883086</v>
      </c>
      <c r="CH15" s="53">
        <f t="shared" ca="1" si="28"/>
        <v>7.0569533736167839E-2</v>
      </c>
      <c r="CJ15" s="59">
        <f t="shared" si="29"/>
        <v>6.8000000000000005E-2</v>
      </c>
      <c r="CK15" s="61">
        <f t="shared" ca="1" si="30"/>
        <v>5031.75</v>
      </c>
      <c r="CL15" s="62">
        <f t="shared" ca="1" si="31"/>
        <v>165.31416837782342</v>
      </c>
      <c r="CM15" s="62">
        <f t="shared" ca="1" si="32"/>
        <v>13.776180698151952</v>
      </c>
      <c r="CN15" s="62" t="str">
        <f t="shared" ca="1" si="33"/>
        <v>13 años y 9 meses</v>
      </c>
      <c r="CO15" s="54">
        <f t="shared" ca="1" si="34"/>
        <v>7847876.1315895459</v>
      </c>
    </row>
    <row r="16" spans="2:94" hidden="1">
      <c r="B16" s="12">
        <v>14</v>
      </c>
      <c r="C16" s="48" t="s">
        <v>107</v>
      </c>
      <c r="D16" s="27" t="s">
        <v>160</v>
      </c>
      <c r="E16" s="27" t="s">
        <v>548</v>
      </c>
      <c r="F16" s="27" t="s">
        <v>542</v>
      </c>
      <c r="G16" s="28" t="s">
        <v>179</v>
      </c>
      <c r="I16" s="14" t="s">
        <v>111</v>
      </c>
      <c r="J16" s="14">
        <v>14</v>
      </c>
      <c r="K16" s="14" t="s">
        <v>138</v>
      </c>
      <c r="M16" s="19">
        <v>84.56</v>
      </c>
      <c r="N16" s="16">
        <v>3100657</v>
      </c>
      <c r="O16" s="50" t="s">
        <v>108</v>
      </c>
      <c r="P16" s="53">
        <f t="shared" si="0"/>
        <v>0</v>
      </c>
      <c r="Q16" s="16"/>
      <c r="R16" s="54">
        <f t="shared" si="1"/>
        <v>3100657</v>
      </c>
      <c r="S16" s="54">
        <f t="shared" si="2"/>
        <v>36668.129139072844</v>
      </c>
      <c r="U16" s="64" t="s">
        <v>108</v>
      </c>
      <c r="V16" s="64" t="s">
        <v>108</v>
      </c>
      <c r="X16" s="14">
        <v>4.0999999999999996</v>
      </c>
      <c r="Y16" s="21" t="s">
        <v>108</v>
      </c>
      <c r="Z16" s="14">
        <v>2</v>
      </c>
      <c r="AA16" s="21" t="s">
        <v>107</v>
      </c>
      <c r="AB16" s="21" t="s">
        <v>107</v>
      </c>
      <c r="AC16" s="21" t="s">
        <v>107</v>
      </c>
      <c r="AD16" s="21" t="s">
        <v>107</v>
      </c>
      <c r="AE16" s="19">
        <v>6</v>
      </c>
      <c r="AF16" s="21" t="s">
        <v>108</v>
      </c>
      <c r="AG16" s="19"/>
      <c r="AH16" s="21" t="s">
        <v>108</v>
      </c>
      <c r="AI16" s="21" t="s">
        <v>108</v>
      </c>
      <c r="AJ16" s="14">
        <v>2</v>
      </c>
      <c r="AK16" s="14"/>
      <c r="AL16" s="14"/>
      <c r="AM16" s="21" t="s">
        <v>108</v>
      </c>
      <c r="AN16" s="19"/>
      <c r="AP16" s="17">
        <v>0.1</v>
      </c>
      <c r="AQ16" s="54">
        <f t="shared" si="3"/>
        <v>310065.7</v>
      </c>
      <c r="AR16" s="17">
        <v>0.1</v>
      </c>
      <c r="AS16" s="54">
        <f t="shared" si="4"/>
        <v>310065.7</v>
      </c>
      <c r="AT16" s="18">
        <v>18</v>
      </c>
      <c r="AU16" s="54">
        <f t="shared" si="5"/>
        <v>17225.872222222224</v>
      </c>
      <c r="AV16" s="54">
        <f t="shared" si="6"/>
        <v>620131.4</v>
      </c>
      <c r="AW16" s="55">
        <f t="shared" si="7"/>
        <v>0.8</v>
      </c>
      <c r="AX16" s="54">
        <f t="shared" si="8"/>
        <v>2480525.5999999996</v>
      </c>
      <c r="AZ16" s="22">
        <v>45261</v>
      </c>
      <c r="BB16" s="54">
        <f t="shared" si="9"/>
        <v>93019.709999999992</v>
      </c>
      <c r="BC16" s="54">
        <f t="shared" si="10"/>
        <v>62013.14</v>
      </c>
      <c r="BD16" s="16">
        <v>302000</v>
      </c>
      <c r="BE16" s="16">
        <v>172500</v>
      </c>
      <c r="BF16" s="54">
        <f t="shared" si="11"/>
        <v>629532.85</v>
      </c>
      <c r="BH16" s="54">
        <f t="shared" si="12"/>
        <v>2480525.5999999996</v>
      </c>
      <c r="BI16" s="56">
        <f t="shared" si="13"/>
        <v>45292</v>
      </c>
      <c r="BJ16" s="57">
        <f t="shared" si="14"/>
        <v>0.12</v>
      </c>
      <c r="BK16" s="58">
        <f t="shared" si="14"/>
        <v>15</v>
      </c>
      <c r="BL16" s="54">
        <f t="shared" si="15"/>
        <v>29770.476023203886</v>
      </c>
      <c r="BM16" s="56">
        <f>TIPOLOGÍAS!AZ16+(TIPOLOGÍAS!BK16*365.25)</f>
        <v>50739.75</v>
      </c>
      <c r="BN16" s="54">
        <f t="shared" si="16"/>
        <v>5358685.6841767002</v>
      </c>
      <c r="BP16" s="16">
        <v>34.5</v>
      </c>
      <c r="BQ16" s="54">
        <f t="shared" si="17"/>
        <v>2917.32</v>
      </c>
      <c r="BR16" s="56">
        <f t="shared" si="18"/>
        <v>45292</v>
      </c>
      <c r="BS16" s="54">
        <f t="shared" si="19"/>
        <v>7327.9349773130798</v>
      </c>
      <c r="BT16" s="56">
        <f>TIPOLOGÍAS!AZ16+(TIPOLOGÍAS!BK16*365.25)</f>
        <v>50739.75</v>
      </c>
      <c r="BU16" s="54">
        <f t="shared" si="20"/>
        <v>866279.03925359447</v>
      </c>
      <c r="BW16" s="16">
        <v>10520</v>
      </c>
      <c r="BX16" s="56">
        <f>TIPOLOGÍAS!AZ16+62</f>
        <v>45323</v>
      </c>
      <c r="BY16" s="59">
        <f t="shared" si="21"/>
        <v>6.8000000000000005E-2</v>
      </c>
      <c r="BZ16" s="54">
        <f t="shared" si="22"/>
        <v>28221.788328570154</v>
      </c>
      <c r="CA16" s="56">
        <f>TIPOLOGÍAS!AZ16+(TIPOLOGÍAS!BK16*365.25)</f>
        <v>50739.75</v>
      </c>
      <c r="CB16" s="67">
        <f t="shared" si="23"/>
        <v>11</v>
      </c>
      <c r="CC16" s="54">
        <f t="shared" si="24"/>
        <v>2842484.5825628182</v>
      </c>
      <c r="CE16" s="60">
        <f t="shared" si="25"/>
        <v>7474628.9734302945</v>
      </c>
      <c r="CF16" s="60">
        <f t="shared" si="26"/>
        <v>4632144.3908674764</v>
      </c>
      <c r="CG16" s="60">
        <f t="shared" ca="1" si="27"/>
        <v>30025.213202795891</v>
      </c>
      <c r="CH16" s="53">
        <f t="shared" ca="1" si="28"/>
        <v>6.5222028964878595E-2</v>
      </c>
      <c r="CJ16" s="59">
        <f t="shared" si="29"/>
        <v>6.8000000000000005E-2</v>
      </c>
      <c r="CK16" s="61">
        <f t="shared" ca="1" si="30"/>
        <v>4695.75</v>
      </c>
      <c r="CL16" s="62">
        <f t="shared" ca="1" si="31"/>
        <v>154.27515400410678</v>
      </c>
      <c r="CM16" s="62">
        <f t="shared" ca="1" si="32"/>
        <v>12.856262833675565</v>
      </c>
      <c r="CN16" s="62" t="str">
        <f t="shared" ca="1" si="33"/>
        <v>12 años y 10 meses</v>
      </c>
      <c r="CO16" s="54">
        <f t="shared" ca="1" si="34"/>
        <v>7223925.5353582473</v>
      </c>
    </row>
    <row r="17" spans="1:94" hidden="1">
      <c r="B17" s="3">
        <v>15</v>
      </c>
      <c r="C17" s="48" t="s">
        <v>107</v>
      </c>
      <c r="D17" s="27" t="s">
        <v>160</v>
      </c>
      <c r="E17" s="27" t="s">
        <v>164</v>
      </c>
      <c r="F17" s="27" t="s">
        <v>537</v>
      </c>
      <c r="G17" s="28" t="s">
        <v>180</v>
      </c>
      <c r="I17" s="14" t="s">
        <v>540</v>
      </c>
      <c r="J17" s="14">
        <v>7</v>
      </c>
      <c r="K17" s="14" t="s">
        <v>539</v>
      </c>
      <c r="M17" s="19">
        <v>89</v>
      </c>
      <c r="N17" s="16">
        <v>3030656</v>
      </c>
      <c r="O17" s="50" t="s">
        <v>108</v>
      </c>
      <c r="P17" s="53">
        <f t="shared" si="0"/>
        <v>0</v>
      </c>
      <c r="Q17" s="16"/>
      <c r="R17" s="54">
        <f t="shared" si="1"/>
        <v>3030656</v>
      </c>
      <c r="S17" s="54">
        <f t="shared" si="2"/>
        <v>34052.314606741573</v>
      </c>
      <c r="U17" s="64" t="s">
        <v>108</v>
      </c>
      <c r="V17" s="64" t="s">
        <v>108</v>
      </c>
      <c r="X17" s="14">
        <v>4.3</v>
      </c>
      <c r="Y17" s="21" t="s">
        <v>108</v>
      </c>
      <c r="Z17" s="14">
        <v>1</v>
      </c>
      <c r="AA17" s="21" t="s">
        <v>107</v>
      </c>
      <c r="AB17" s="21" t="s">
        <v>107</v>
      </c>
      <c r="AC17" s="21" t="s">
        <v>107</v>
      </c>
      <c r="AD17" s="21" t="s">
        <v>107</v>
      </c>
      <c r="AE17" s="19">
        <v>5</v>
      </c>
      <c r="AF17" s="21" t="s">
        <v>108</v>
      </c>
      <c r="AG17" s="19"/>
      <c r="AH17" s="21" t="s">
        <v>108</v>
      </c>
      <c r="AI17" s="21" t="s">
        <v>108</v>
      </c>
      <c r="AJ17" s="14">
        <v>2</v>
      </c>
      <c r="AK17" s="14"/>
      <c r="AL17" s="14"/>
      <c r="AM17" s="21" t="s">
        <v>108</v>
      </c>
      <c r="AN17" s="19"/>
      <c r="AP17" s="17">
        <v>0.1</v>
      </c>
      <c r="AQ17" s="54">
        <f t="shared" si="3"/>
        <v>303065.60000000003</v>
      </c>
      <c r="AR17" s="17">
        <v>0.1</v>
      </c>
      <c r="AS17" s="54">
        <f t="shared" si="4"/>
        <v>303065.60000000003</v>
      </c>
      <c r="AT17" s="18">
        <v>30</v>
      </c>
      <c r="AU17" s="54">
        <f t="shared" si="5"/>
        <v>10102.186666666668</v>
      </c>
      <c r="AV17" s="54">
        <f t="shared" si="6"/>
        <v>606131.20000000007</v>
      </c>
      <c r="AW17" s="55">
        <f t="shared" si="7"/>
        <v>0.8</v>
      </c>
      <c r="AX17" s="54">
        <f t="shared" si="8"/>
        <v>2424524.7999999998</v>
      </c>
      <c r="AZ17" s="22">
        <v>45748</v>
      </c>
      <c r="BB17" s="54">
        <f t="shared" si="9"/>
        <v>90919.679999999993</v>
      </c>
      <c r="BC17" s="54">
        <f t="shared" si="10"/>
        <v>60613.120000000003</v>
      </c>
      <c r="BD17" s="16">
        <v>325500</v>
      </c>
      <c r="BE17" s="16">
        <v>181500</v>
      </c>
      <c r="BF17" s="54">
        <f t="shared" si="11"/>
        <v>658532.80000000005</v>
      </c>
      <c r="BH17" s="54">
        <f t="shared" si="12"/>
        <v>2424524.7999999998</v>
      </c>
      <c r="BI17" s="56">
        <f t="shared" si="13"/>
        <v>45779</v>
      </c>
      <c r="BJ17" s="57">
        <f t="shared" si="14"/>
        <v>0.12</v>
      </c>
      <c r="BK17" s="58">
        <f t="shared" si="14"/>
        <v>15</v>
      </c>
      <c r="BL17" s="54">
        <f t="shared" si="15"/>
        <v>29098.372307088142</v>
      </c>
      <c r="BM17" s="56">
        <f>TIPOLOGÍAS!AZ17+(TIPOLOGÍAS!BK17*365.25)</f>
        <v>51226.75</v>
      </c>
      <c r="BN17" s="54">
        <f t="shared" si="16"/>
        <v>5237707.0152758658</v>
      </c>
      <c r="BP17" s="16">
        <v>33.5</v>
      </c>
      <c r="BQ17" s="54">
        <f t="shared" si="17"/>
        <v>2981.5</v>
      </c>
      <c r="BR17" s="56">
        <f t="shared" si="18"/>
        <v>45779</v>
      </c>
      <c r="BS17" s="54">
        <f t="shared" si="19"/>
        <v>7489.1469344668894</v>
      </c>
      <c r="BT17" s="56">
        <f>TIPOLOGÍAS!AZ17+(TIPOLOGÍAS!BK17*365.25)</f>
        <v>51226.75</v>
      </c>
      <c r="BU17" s="54">
        <f t="shared" si="20"/>
        <v>885336.86929599475</v>
      </c>
      <c r="BW17" s="16">
        <v>9860</v>
      </c>
      <c r="BX17" s="56">
        <f>TIPOLOGÍAS!AZ17+62</f>
        <v>45810</v>
      </c>
      <c r="BY17" s="59">
        <f t="shared" si="21"/>
        <v>6.8000000000000005E-2</v>
      </c>
      <c r="BZ17" s="54">
        <f t="shared" si="22"/>
        <v>26451.219859287234</v>
      </c>
      <c r="CA17" s="56">
        <f>TIPOLOGÍAS!AZ17+(TIPOLOGÍAS!BK17*365.25)</f>
        <v>51226.75</v>
      </c>
      <c r="CB17" s="67">
        <f t="shared" si="23"/>
        <v>11</v>
      </c>
      <c r="CC17" s="54">
        <f t="shared" si="24"/>
        <v>2664153.8007670525</v>
      </c>
      <c r="CE17" s="60">
        <f t="shared" si="25"/>
        <v>7387707.8845718605</v>
      </c>
      <c r="CF17" s="60">
        <f t="shared" si="26"/>
        <v>4723554.0838048086</v>
      </c>
      <c r="CG17" s="60">
        <f t="shared" ca="1" si="27"/>
        <v>27740.712445286546</v>
      </c>
      <c r="CH17" s="53">
        <f t="shared" ca="1" si="28"/>
        <v>6.4689984801107644E-2</v>
      </c>
      <c r="CJ17" s="59">
        <f t="shared" si="29"/>
        <v>6.8000000000000005E-2</v>
      </c>
      <c r="CK17" s="61">
        <f t="shared" ca="1" si="30"/>
        <v>5182.75</v>
      </c>
      <c r="CL17" s="62">
        <f t="shared" ca="1" si="31"/>
        <v>170.27515400410678</v>
      </c>
      <c r="CM17" s="62">
        <f t="shared" ca="1" si="32"/>
        <v>14.189596167008899</v>
      </c>
      <c r="CN17" s="62" t="str">
        <f t="shared" ca="1" si="33"/>
        <v>14 años y 2 meses</v>
      </c>
      <c r="CO17" s="54">
        <f t="shared" ca="1" si="34"/>
        <v>7708168.1762153758</v>
      </c>
    </row>
    <row r="18" spans="1:94">
      <c r="B18" s="11">
        <v>16</v>
      </c>
      <c r="C18" s="48" t="s">
        <v>107</v>
      </c>
      <c r="D18" s="27" t="s">
        <v>160</v>
      </c>
      <c r="E18" s="27" t="s">
        <v>138</v>
      </c>
      <c r="F18" s="27" t="s">
        <v>547</v>
      </c>
      <c r="G18" s="28" t="s">
        <v>181</v>
      </c>
      <c r="I18" s="14" t="s">
        <v>545</v>
      </c>
      <c r="J18" s="14">
        <v>12</v>
      </c>
      <c r="K18" s="14" t="s">
        <v>544</v>
      </c>
      <c r="M18" s="19">
        <v>83.4</v>
      </c>
      <c r="N18" s="16">
        <v>2960655</v>
      </c>
      <c r="O18" s="50" t="s">
        <v>108</v>
      </c>
      <c r="P18" s="53">
        <f t="shared" si="0"/>
        <v>0</v>
      </c>
      <c r="Q18" s="16"/>
      <c r="R18" s="54">
        <f t="shared" si="1"/>
        <v>2960655</v>
      </c>
      <c r="S18" s="54">
        <f t="shared" si="2"/>
        <v>35499.460431654676</v>
      </c>
      <c r="U18" s="64" t="s">
        <v>108</v>
      </c>
      <c r="V18" s="64" t="s">
        <v>108</v>
      </c>
      <c r="X18" s="14">
        <v>4.5</v>
      </c>
      <c r="Y18" s="21" t="s">
        <v>108</v>
      </c>
      <c r="Z18" s="14">
        <v>2</v>
      </c>
      <c r="AA18" s="21" t="s">
        <v>107</v>
      </c>
      <c r="AB18" s="21" t="s">
        <v>107</v>
      </c>
      <c r="AC18" s="21" t="s">
        <v>107</v>
      </c>
      <c r="AD18" s="21" t="s">
        <v>107</v>
      </c>
      <c r="AE18" s="19">
        <v>4</v>
      </c>
      <c r="AF18" s="21" t="s">
        <v>108</v>
      </c>
      <c r="AG18" s="19"/>
      <c r="AH18" s="21" t="s">
        <v>108</v>
      </c>
      <c r="AI18" s="21" t="s">
        <v>108</v>
      </c>
      <c r="AJ18" s="14">
        <v>2</v>
      </c>
      <c r="AK18" s="21" t="s">
        <v>107</v>
      </c>
      <c r="AL18" s="19"/>
      <c r="AM18" s="21" t="s">
        <v>108</v>
      </c>
      <c r="AN18" s="19"/>
      <c r="AP18" s="17">
        <v>0.1</v>
      </c>
      <c r="AQ18" s="54">
        <f t="shared" si="3"/>
        <v>296065.5</v>
      </c>
      <c r="AR18" s="17">
        <v>0.1</v>
      </c>
      <c r="AS18" s="54">
        <f t="shared" si="4"/>
        <v>296065.5</v>
      </c>
      <c r="AT18" s="18">
        <v>24</v>
      </c>
      <c r="AU18" s="54">
        <f t="shared" si="5"/>
        <v>12336.0625</v>
      </c>
      <c r="AV18" s="54">
        <f t="shared" si="6"/>
        <v>592131</v>
      </c>
      <c r="AW18" s="55">
        <f t="shared" si="7"/>
        <v>0.8</v>
      </c>
      <c r="AX18" s="54">
        <f t="shared" si="8"/>
        <v>2368524</v>
      </c>
      <c r="AZ18" s="22">
        <v>45627</v>
      </c>
      <c r="BB18" s="54">
        <f t="shared" si="9"/>
        <v>88819.65</v>
      </c>
      <c r="BC18" s="54">
        <f t="shared" si="10"/>
        <v>59213.1</v>
      </c>
      <c r="BD18" s="16">
        <v>349000</v>
      </c>
      <c r="BE18" s="16">
        <v>190500</v>
      </c>
      <c r="BF18" s="54">
        <f t="shared" si="11"/>
        <v>687532.75</v>
      </c>
      <c r="BH18" s="54">
        <f t="shared" si="12"/>
        <v>2368524</v>
      </c>
      <c r="BI18" s="56">
        <f t="shared" si="13"/>
        <v>45658</v>
      </c>
      <c r="BJ18" s="57">
        <f t="shared" si="14"/>
        <v>0.12</v>
      </c>
      <c r="BK18" s="58">
        <f t="shared" si="14"/>
        <v>15</v>
      </c>
      <c r="BL18" s="54">
        <f t="shared" si="15"/>
        <v>28426.268590972402</v>
      </c>
      <c r="BM18" s="56">
        <f>TIPOLOGÍAS!AZ18+(TIPOLOGÍAS!BK18*365.25)</f>
        <v>51105.75</v>
      </c>
      <c r="BN18" s="54">
        <f t="shared" si="16"/>
        <v>5116728.3463750323</v>
      </c>
      <c r="BP18" s="16">
        <v>32.5</v>
      </c>
      <c r="BQ18" s="54">
        <f t="shared" si="17"/>
        <v>2710.5</v>
      </c>
      <c r="BR18" s="56">
        <f t="shared" si="18"/>
        <v>45658</v>
      </c>
      <c r="BS18" s="54">
        <f t="shared" si="19"/>
        <v>6808.4295709785356</v>
      </c>
      <c r="BT18" s="56">
        <f>TIPOLOGÍAS!AZ18+(TIPOLOGÍAS!BK18*365.25)</f>
        <v>51105.75</v>
      </c>
      <c r="BU18" s="54">
        <f t="shared" si="20"/>
        <v>804865.19678913092</v>
      </c>
      <c r="BW18" s="16">
        <v>9200</v>
      </c>
      <c r="BX18" s="56">
        <f>TIPOLOGÍAS!AZ18+62</f>
        <v>45689</v>
      </c>
      <c r="BY18" s="59">
        <f t="shared" si="21"/>
        <v>6.8000000000000005E-2</v>
      </c>
      <c r="BZ18" s="54">
        <f t="shared" si="22"/>
        <v>24680.651390004314</v>
      </c>
      <c r="CA18" s="56">
        <f>TIPOLOGÍAS!AZ18+(TIPOLOGÍAS!BK18*365.25)</f>
        <v>51105.75</v>
      </c>
      <c r="CB18" s="67">
        <f t="shared" si="23"/>
        <v>11</v>
      </c>
      <c r="CC18" s="54">
        <f t="shared" si="24"/>
        <v>2485823.0189712862</v>
      </c>
      <c r="CE18" s="60">
        <f t="shared" si="25"/>
        <v>7201257.2931641629</v>
      </c>
      <c r="CF18" s="60">
        <f t="shared" si="26"/>
        <v>4715434.2741928771</v>
      </c>
      <c r="CG18" s="60">
        <f t="shared" ca="1" si="27"/>
        <v>28355.021627055012</v>
      </c>
      <c r="CH18" s="53">
        <f t="shared" ca="1" si="28"/>
        <v>6.0712246437361797E-2</v>
      </c>
      <c r="CJ18" s="59">
        <f t="shared" si="29"/>
        <v>6.8000000000000005E-2</v>
      </c>
      <c r="CK18" s="61">
        <f t="shared" ca="1" si="30"/>
        <v>5061.75</v>
      </c>
      <c r="CL18" s="62">
        <f t="shared" ca="1" si="31"/>
        <v>166.29979466119096</v>
      </c>
      <c r="CM18" s="62">
        <f t="shared" ca="1" si="32"/>
        <v>13.858316221765913</v>
      </c>
      <c r="CN18" s="62" t="str">
        <f t="shared" ca="1" si="33"/>
        <v>13 años y 10 meses</v>
      </c>
      <c r="CO18" s="308">
        <f t="shared" ca="1" si="34"/>
        <v>7367790.313964244</v>
      </c>
      <c r="CP18" s="4"/>
    </row>
    <row r="19" spans="1:94">
      <c r="B19" s="12">
        <v>17</v>
      </c>
      <c r="C19" s="48" t="s">
        <v>107</v>
      </c>
      <c r="D19" s="27" t="s">
        <v>160</v>
      </c>
      <c r="E19" s="27" t="s">
        <v>541</v>
      </c>
      <c r="F19" s="27" t="s">
        <v>100</v>
      </c>
      <c r="G19" s="28" t="s">
        <v>549</v>
      </c>
      <c r="I19" s="14" t="s">
        <v>139</v>
      </c>
      <c r="J19" s="14">
        <v>21</v>
      </c>
      <c r="K19" s="14" t="s">
        <v>138</v>
      </c>
      <c r="M19" s="19">
        <v>82.82</v>
      </c>
      <c r="N19" s="16">
        <v>2890654</v>
      </c>
      <c r="O19" s="50" t="s">
        <v>108</v>
      </c>
      <c r="P19" s="53">
        <f t="shared" si="0"/>
        <v>0</v>
      </c>
      <c r="Q19" s="16"/>
      <c r="R19" s="54">
        <f t="shared" si="1"/>
        <v>2890654</v>
      </c>
      <c r="S19" s="54">
        <f t="shared" si="2"/>
        <v>34902.849553248008</v>
      </c>
      <c r="U19" s="64" t="s">
        <v>108</v>
      </c>
      <c r="V19" s="64" t="s">
        <v>108</v>
      </c>
      <c r="X19" s="14">
        <v>4.7</v>
      </c>
      <c r="Y19" s="21" t="s">
        <v>108</v>
      </c>
      <c r="Z19" s="14">
        <v>1.5</v>
      </c>
      <c r="AA19" s="21" t="s">
        <v>107</v>
      </c>
      <c r="AB19" s="21" t="s">
        <v>107</v>
      </c>
      <c r="AC19" s="21" t="s">
        <v>107</v>
      </c>
      <c r="AD19" s="21" t="s">
        <v>108</v>
      </c>
      <c r="AE19" s="19"/>
      <c r="AF19" s="21" t="s">
        <v>108</v>
      </c>
      <c r="AG19" s="19"/>
      <c r="AH19" s="21" t="s">
        <v>108</v>
      </c>
      <c r="AI19" s="21" t="s">
        <v>108</v>
      </c>
      <c r="AJ19" s="14">
        <v>1</v>
      </c>
      <c r="AK19" s="21" t="s">
        <v>108</v>
      </c>
      <c r="AL19" s="19"/>
      <c r="AM19" s="21" t="s">
        <v>108</v>
      </c>
      <c r="AN19" s="19"/>
      <c r="AP19" s="17">
        <v>0.05</v>
      </c>
      <c r="AQ19" s="54">
        <f t="shared" si="3"/>
        <v>144532.70000000001</v>
      </c>
      <c r="AR19" s="17">
        <v>0.05</v>
      </c>
      <c r="AS19" s="54">
        <f t="shared" si="4"/>
        <v>144532.70000000001</v>
      </c>
      <c r="AT19" s="18">
        <v>23</v>
      </c>
      <c r="AU19" s="54">
        <f t="shared" si="5"/>
        <v>6284.0304347826095</v>
      </c>
      <c r="AV19" s="54">
        <f t="shared" si="6"/>
        <v>289065.40000000002</v>
      </c>
      <c r="AW19" s="55">
        <f t="shared" si="7"/>
        <v>0.89999999999999991</v>
      </c>
      <c r="AX19" s="54">
        <f t="shared" si="8"/>
        <v>2601588.5999999996</v>
      </c>
      <c r="AZ19" s="22">
        <v>45597</v>
      </c>
      <c r="BB19" s="54">
        <f t="shared" si="9"/>
        <v>86719.62</v>
      </c>
      <c r="BC19" s="54">
        <f t="shared" si="10"/>
        <v>57813.08</v>
      </c>
      <c r="BD19" s="16">
        <v>235000</v>
      </c>
      <c r="BE19" s="16">
        <v>199500</v>
      </c>
      <c r="BF19" s="54">
        <f t="shared" si="11"/>
        <v>579032.69999999995</v>
      </c>
      <c r="BH19" s="54">
        <f t="shared" si="12"/>
        <v>2601588.5999999996</v>
      </c>
      <c r="BI19" s="56">
        <f t="shared" si="13"/>
        <v>45628</v>
      </c>
      <c r="BJ19" s="57">
        <f t="shared" si="14"/>
        <v>0.12</v>
      </c>
      <c r="BK19" s="58">
        <f t="shared" si="14"/>
        <v>15</v>
      </c>
      <c r="BL19" s="54">
        <f t="shared" si="15"/>
        <v>31223.435484213736</v>
      </c>
      <c r="BM19" s="56">
        <f>TIPOLOGÍAS!AZ19+(TIPOLOGÍAS!BK19*365.25)</f>
        <v>51075.75</v>
      </c>
      <c r="BN19" s="54">
        <f t="shared" si="16"/>
        <v>5620218.3871584721</v>
      </c>
      <c r="BP19" s="16">
        <v>31.5</v>
      </c>
      <c r="BQ19" s="54">
        <f t="shared" si="17"/>
        <v>2608.83</v>
      </c>
      <c r="BR19" s="56">
        <f t="shared" si="18"/>
        <v>45628</v>
      </c>
      <c r="BS19" s="54">
        <f t="shared" si="19"/>
        <v>6553.0475254218536</v>
      </c>
      <c r="BT19" s="56">
        <f>TIPOLOGÍAS!AZ19+(TIPOLOGÍAS!BK19*365.25)</f>
        <v>51075.75</v>
      </c>
      <c r="BU19" s="54">
        <f t="shared" si="20"/>
        <v>774674.95714421268</v>
      </c>
      <c r="BW19" s="16">
        <v>8540</v>
      </c>
      <c r="BX19" s="56">
        <f>TIPOLOGÍAS!AZ19+62</f>
        <v>45659</v>
      </c>
      <c r="BY19" s="59">
        <f t="shared" si="21"/>
        <v>6.8000000000000005E-2</v>
      </c>
      <c r="BZ19" s="54">
        <f t="shared" si="22"/>
        <v>22910.082920721397</v>
      </c>
      <c r="CA19" s="56">
        <f>TIPOLOGÍAS!AZ19+(TIPOLOGÍAS!BK19*365.25)</f>
        <v>51075.75</v>
      </c>
      <c r="CB19" s="67">
        <f t="shared" si="23"/>
        <v>11</v>
      </c>
      <c r="CC19" s="54">
        <f t="shared" si="24"/>
        <v>2307492.23717552</v>
      </c>
      <c r="CE19" s="60">
        <f t="shared" si="25"/>
        <v>7262991.4443026846</v>
      </c>
      <c r="CF19" s="60">
        <f t="shared" si="26"/>
        <v>4955499.207127165</v>
      </c>
      <c r="CG19" s="60">
        <f t="shared" ca="1" si="27"/>
        <v>29976.252221778323</v>
      </c>
      <c r="CH19" s="53">
        <f t="shared" ca="1" si="28"/>
        <v>5.0798218579325524E-2</v>
      </c>
      <c r="CJ19" s="59">
        <f t="shared" si="29"/>
        <v>6.8000000000000005E-2</v>
      </c>
      <c r="CK19" s="61">
        <f t="shared" ca="1" si="30"/>
        <v>5031.75</v>
      </c>
      <c r="CL19" s="62">
        <f t="shared" ca="1" si="31"/>
        <v>165.31416837782342</v>
      </c>
      <c r="CM19" s="62">
        <f t="shared" ca="1" si="32"/>
        <v>13.776180698151952</v>
      </c>
      <c r="CN19" s="62" t="str">
        <f t="shared" ca="1" si="33"/>
        <v>13 años y 9 meses</v>
      </c>
      <c r="CO19" s="308">
        <f t="shared" ca="1" si="34"/>
        <v>7154822.2896584393</v>
      </c>
      <c r="CP19" s="4"/>
    </row>
    <row r="20" spans="1:94" hidden="1">
      <c r="B20" s="12">
        <v>18</v>
      </c>
      <c r="C20" s="48" t="s">
        <v>107</v>
      </c>
      <c r="D20" s="27" t="s">
        <v>160</v>
      </c>
      <c r="E20" s="27" t="s">
        <v>543</v>
      </c>
      <c r="F20" s="27" t="s">
        <v>546</v>
      </c>
      <c r="G20" s="28" t="s">
        <v>173</v>
      </c>
      <c r="I20" s="14" t="s">
        <v>111</v>
      </c>
      <c r="J20" s="14">
        <v>20</v>
      </c>
      <c r="K20" s="14" t="s">
        <v>138</v>
      </c>
      <c r="M20" s="19">
        <v>54</v>
      </c>
      <c r="N20" s="16">
        <v>2820653</v>
      </c>
      <c r="O20" s="50" t="s">
        <v>108</v>
      </c>
      <c r="P20" s="53">
        <f t="shared" si="0"/>
        <v>0</v>
      </c>
      <c r="Q20" s="16"/>
      <c r="R20" s="54">
        <f t="shared" si="1"/>
        <v>2820653</v>
      </c>
      <c r="S20" s="54">
        <f t="shared" si="2"/>
        <v>52234.314814814818</v>
      </c>
      <c r="U20" s="64" t="s">
        <v>108</v>
      </c>
      <c r="V20" s="64" t="s">
        <v>108</v>
      </c>
      <c r="X20" s="14">
        <v>4.9000000000000004</v>
      </c>
      <c r="Y20" s="21" t="s">
        <v>108</v>
      </c>
      <c r="Z20" s="14">
        <v>2</v>
      </c>
      <c r="AA20" s="21" t="s">
        <v>107</v>
      </c>
      <c r="AB20" s="21" t="s">
        <v>107</v>
      </c>
      <c r="AC20" s="21" t="s">
        <v>107</v>
      </c>
      <c r="AD20" s="21" t="s">
        <v>108</v>
      </c>
      <c r="AE20" s="19"/>
      <c r="AF20" s="21" t="s">
        <v>108</v>
      </c>
      <c r="AG20" s="19"/>
      <c r="AH20" s="21" t="s">
        <v>108</v>
      </c>
      <c r="AI20" s="21" t="s">
        <v>108</v>
      </c>
      <c r="AJ20" s="14">
        <v>2</v>
      </c>
      <c r="AK20" s="14"/>
      <c r="AL20" s="14"/>
      <c r="AM20" s="21" t="s">
        <v>108</v>
      </c>
      <c r="AN20" s="19"/>
      <c r="AP20" s="17">
        <v>0.1</v>
      </c>
      <c r="AQ20" s="54">
        <f t="shared" si="3"/>
        <v>282065.3</v>
      </c>
      <c r="AR20" s="17">
        <v>0.1</v>
      </c>
      <c r="AS20" s="54">
        <f t="shared" si="4"/>
        <v>282065.3</v>
      </c>
      <c r="AT20" s="18">
        <v>26</v>
      </c>
      <c r="AU20" s="54">
        <f t="shared" si="5"/>
        <v>10848.665384615384</v>
      </c>
      <c r="AV20" s="54">
        <f t="shared" si="6"/>
        <v>564130.6</v>
      </c>
      <c r="AW20" s="55">
        <f t="shared" si="7"/>
        <v>0.8</v>
      </c>
      <c r="AX20" s="54">
        <f t="shared" si="8"/>
        <v>2256522.4000000004</v>
      </c>
      <c r="AZ20" s="22">
        <v>45261</v>
      </c>
      <c r="BB20" s="54">
        <f t="shared" si="9"/>
        <v>84619.59</v>
      </c>
      <c r="BC20" s="54">
        <f t="shared" si="10"/>
        <v>56413.06</v>
      </c>
      <c r="BD20" s="16">
        <v>255000</v>
      </c>
      <c r="BE20" s="16">
        <v>208500</v>
      </c>
      <c r="BF20" s="54">
        <f t="shared" si="11"/>
        <v>604532.65</v>
      </c>
      <c r="BH20" s="54">
        <f t="shared" si="12"/>
        <v>2256522.4000000004</v>
      </c>
      <c r="BI20" s="56">
        <f t="shared" si="13"/>
        <v>45292</v>
      </c>
      <c r="BJ20" s="57">
        <f t="shared" si="14"/>
        <v>0.12</v>
      </c>
      <c r="BK20" s="58">
        <f t="shared" si="14"/>
        <v>15</v>
      </c>
      <c r="BL20" s="54">
        <f t="shared" si="15"/>
        <v>27082.061158740918</v>
      </c>
      <c r="BM20" s="56">
        <f>TIPOLOGÍAS!AZ20+(TIPOLOGÍAS!BK20*365.25)</f>
        <v>50739.75</v>
      </c>
      <c r="BN20" s="54">
        <f t="shared" si="16"/>
        <v>4874771.0085733654</v>
      </c>
      <c r="BP20" s="16">
        <v>30.5</v>
      </c>
      <c r="BQ20" s="54">
        <f t="shared" si="17"/>
        <v>1647</v>
      </c>
      <c r="BR20" s="56">
        <f t="shared" si="18"/>
        <v>45292</v>
      </c>
      <c r="BS20" s="54">
        <f t="shared" si="19"/>
        <v>4137.0534969199962</v>
      </c>
      <c r="BT20" s="56">
        <f>TIPOLOGÍAS!AZ20+(TIPOLOGÍAS!BK20*365.25)</f>
        <v>50739.75</v>
      </c>
      <c r="BU20" s="54">
        <f t="shared" si="20"/>
        <v>489065.84730186261</v>
      </c>
      <c r="BW20" s="16">
        <v>7880</v>
      </c>
      <c r="BX20" s="56">
        <f>TIPOLOGÍAS!AZ20+62</f>
        <v>45323</v>
      </c>
      <c r="BY20" s="59">
        <f t="shared" si="21"/>
        <v>6.8000000000000005E-2</v>
      </c>
      <c r="BZ20" s="54">
        <f t="shared" si="22"/>
        <v>21139.514451438477</v>
      </c>
      <c r="CA20" s="56">
        <f>TIPOLOGÍAS!AZ20+(TIPOLOGÍAS!BK20*365.25)</f>
        <v>50739.75</v>
      </c>
      <c r="CB20" s="67">
        <f t="shared" si="23"/>
        <v>11</v>
      </c>
      <c r="CC20" s="54">
        <f t="shared" si="24"/>
        <v>2129161.4553797538</v>
      </c>
      <c r="CE20" s="60">
        <f t="shared" si="25"/>
        <v>6532500.1058752276</v>
      </c>
      <c r="CF20" s="60">
        <f t="shared" si="26"/>
        <v>4403338.6504954733</v>
      </c>
      <c r="CG20" s="60">
        <f t="shared" ca="1" si="27"/>
        <v>28542.111520940416</v>
      </c>
      <c r="CH20" s="53">
        <f t="shared" ca="1" si="28"/>
        <v>5.9107598826097521E-2</v>
      </c>
      <c r="CJ20" s="59">
        <f t="shared" si="29"/>
        <v>6.8000000000000005E-2</v>
      </c>
      <c r="CK20" s="61">
        <f t="shared" ca="1" si="30"/>
        <v>4695.75</v>
      </c>
      <c r="CL20" s="62">
        <f t="shared" ca="1" si="31"/>
        <v>154.27515400410678</v>
      </c>
      <c r="CM20" s="62">
        <f t="shared" ca="1" si="32"/>
        <v>12.856262833675565</v>
      </c>
      <c r="CN20" s="62" t="str">
        <f t="shared" ca="1" si="33"/>
        <v>12 años y 10 meses</v>
      </c>
      <c r="CO20" s="54">
        <f t="shared" ca="1" si="34"/>
        <v>6571570.874522672</v>
      </c>
    </row>
    <row r="21" spans="1:94" hidden="1">
      <c r="B21" s="12">
        <v>19</v>
      </c>
      <c r="C21" s="48" t="s">
        <v>107</v>
      </c>
      <c r="D21" s="27" t="s">
        <v>160</v>
      </c>
      <c r="E21" s="27" t="s">
        <v>172</v>
      </c>
      <c r="F21" s="27" t="s">
        <v>542</v>
      </c>
      <c r="G21" s="28" t="s">
        <v>174</v>
      </c>
      <c r="I21" s="14" t="s">
        <v>540</v>
      </c>
      <c r="J21" s="14">
        <v>8</v>
      </c>
      <c r="K21" s="14" t="s">
        <v>539</v>
      </c>
      <c r="M21" s="19">
        <v>81.66</v>
      </c>
      <c r="N21" s="16">
        <v>2750652</v>
      </c>
      <c r="O21" s="50" t="s">
        <v>108</v>
      </c>
      <c r="P21" s="53">
        <f t="shared" si="0"/>
        <v>0</v>
      </c>
      <c r="Q21" s="16"/>
      <c r="R21" s="54">
        <f t="shared" si="1"/>
        <v>2750652</v>
      </c>
      <c r="S21" s="54">
        <f t="shared" si="2"/>
        <v>33684.202792064658</v>
      </c>
      <c r="U21" s="64" t="s">
        <v>108</v>
      </c>
      <c r="V21" s="64" t="s">
        <v>108</v>
      </c>
      <c r="X21" s="14">
        <v>5.0999999999999996</v>
      </c>
      <c r="Y21" s="21" t="s">
        <v>108</v>
      </c>
      <c r="Z21" s="14">
        <v>2</v>
      </c>
      <c r="AA21" s="21" t="s">
        <v>107</v>
      </c>
      <c r="AB21" s="21" t="s">
        <v>107</v>
      </c>
      <c r="AC21" s="21" t="s">
        <v>107</v>
      </c>
      <c r="AD21" s="21" t="s">
        <v>107</v>
      </c>
      <c r="AE21" s="19">
        <v>6.7</v>
      </c>
      <c r="AF21" s="21" t="s">
        <v>108</v>
      </c>
      <c r="AG21" s="19"/>
      <c r="AH21" s="21" t="s">
        <v>108</v>
      </c>
      <c r="AI21" s="21" t="s">
        <v>108</v>
      </c>
      <c r="AJ21" s="14">
        <v>2</v>
      </c>
      <c r="AK21" s="14"/>
      <c r="AL21" s="14"/>
      <c r="AM21" s="21" t="s">
        <v>108</v>
      </c>
      <c r="AN21" s="19"/>
      <c r="AP21" s="17">
        <v>0.1</v>
      </c>
      <c r="AQ21" s="54">
        <f t="shared" si="3"/>
        <v>275065.2</v>
      </c>
      <c r="AR21" s="17">
        <v>0.1</v>
      </c>
      <c r="AS21" s="54">
        <f t="shared" si="4"/>
        <v>275065.2</v>
      </c>
      <c r="AT21" s="18">
        <v>21</v>
      </c>
      <c r="AU21" s="54">
        <f t="shared" si="5"/>
        <v>13098.342857142858</v>
      </c>
      <c r="AV21" s="54">
        <f t="shared" si="6"/>
        <v>550130.4</v>
      </c>
      <c r="AW21" s="55">
        <f t="shared" si="7"/>
        <v>0.8</v>
      </c>
      <c r="AX21" s="54">
        <f t="shared" si="8"/>
        <v>2200521.5999999996</v>
      </c>
      <c r="AZ21" s="22">
        <v>45748</v>
      </c>
      <c r="BB21" s="54">
        <f t="shared" si="9"/>
        <v>82519.56</v>
      </c>
      <c r="BC21" s="54">
        <f t="shared" si="10"/>
        <v>55013.04</v>
      </c>
      <c r="BD21" s="16">
        <v>278500</v>
      </c>
      <c r="BE21" s="16">
        <v>217500</v>
      </c>
      <c r="BF21" s="54">
        <f t="shared" si="11"/>
        <v>633532.6</v>
      </c>
      <c r="BH21" s="54">
        <f t="shared" si="12"/>
        <v>2200521.5999999996</v>
      </c>
      <c r="BI21" s="56">
        <f t="shared" si="13"/>
        <v>45779</v>
      </c>
      <c r="BJ21" s="57">
        <f t="shared" si="14"/>
        <v>0.12</v>
      </c>
      <c r="BK21" s="58">
        <f t="shared" si="14"/>
        <v>15</v>
      </c>
      <c r="BL21" s="54">
        <f t="shared" si="15"/>
        <v>26409.957442625164</v>
      </c>
      <c r="BM21" s="56">
        <f>TIPOLOGÍAS!AZ21+(TIPOLOGÍAS!BK21*365.25)</f>
        <v>51226.75</v>
      </c>
      <c r="BN21" s="54">
        <f t="shared" si="16"/>
        <v>4753792.3396725291</v>
      </c>
      <c r="BP21" s="16">
        <v>29.5</v>
      </c>
      <c r="BQ21" s="54">
        <f t="shared" si="17"/>
        <v>2408.9699999999998</v>
      </c>
      <c r="BR21" s="56">
        <f t="shared" si="18"/>
        <v>45779</v>
      </c>
      <c r="BS21" s="54">
        <f t="shared" si="19"/>
        <v>6051.0247495296671</v>
      </c>
      <c r="BT21" s="56">
        <f>TIPOLOGÍAS!AZ21+(TIPOLOGÍAS!BK21*365.25)</f>
        <v>51226.75</v>
      </c>
      <c r="BU21" s="54">
        <f t="shared" si="20"/>
        <v>715327.84102900303</v>
      </c>
      <c r="BW21" s="16">
        <v>7220</v>
      </c>
      <c r="BX21" s="56">
        <f>TIPOLOGÍAS!AZ21+62</f>
        <v>45810</v>
      </c>
      <c r="BY21" s="59">
        <f t="shared" si="21"/>
        <v>6.8000000000000005E-2</v>
      </c>
      <c r="BZ21" s="54">
        <f t="shared" si="22"/>
        <v>19368.945982155561</v>
      </c>
      <c r="CA21" s="56">
        <f>TIPOLOGÍAS!AZ21+(TIPOLOGÍAS!BK21*365.25)</f>
        <v>51226.75</v>
      </c>
      <c r="CB21" s="67">
        <f t="shared" si="23"/>
        <v>11</v>
      </c>
      <c r="CC21" s="54">
        <f t="shared" si="24"/>
        <v>1950830.6735839876</v>
      </c>
      <c r="CE21" s="60">
        <f t="shared" si="25"/>
        <v>6652783.1807015324</v>
      </c>
      <c r="CF21" s="60">
        <f t="shared" si="26"/>
        <v>4701952.5071175452</v>
      </c>
      <c r="CG21" s="60">
        <f t="shared" ca="1" si="27"/>
        <v>27613.849681229131</v>
      </c>
      <c r="CH21" s="53">
        <f t="shared" ca="1" si="28"/>
        <v>5.312871066172202E-2</v>
      </c>
      <c r="CJ21" s="59">
        <f t="shared" si="29"/>
        <v>6.8000000000000005E-2</v>
      </c>
      <c r="CK21" s="61">
        <f t="shared" ca="1" si="30"/>
        <v>5182.75</v>
      </c>
      <c r="CL21" s="62">
        <f t="shared" ca="1" si="31"/>
        <v>170.27515400410678</v>
      </c>
      <c r="CM21" s="62">
        <f t="shared" ca="1" si="32"/>
        <v>14.189596167008899</v>
      </c>
      <c r="CN21" s="62" t="str">
        <f t="shared" ca="1" si="33"/>
        <v>14 años y 2 meses</v>
      </c>
      <c r="CO21" s="54">
        <f t="shared" ca="1" si="34"/>
        <v>6996006.2145763738</v>
      </c>
    </row>
    <row r="22" spans="1:94" hidden="1">
      <c r="B22" s="3">
        <v>20</v>
      </c>
      <c r="C22" s="48" t="s">
        <v>107</v>
      </c>
      <c r="D22" s="27" t="s">
        <v>160</v>
      </c>
      <c r="E22" s="27" t="s">
        <v>548</v>
      </c>
      <c r="F22" s="27" t="s">
        <v>537</v>
      </c>
      <c r="G22" s="28" t="s">
        <v>175</v>
      </c>
      <c r="I22" s="14" t="s">
        <v>545</v>
      </c>
      <c r="J22" s="14">
        <v>14</v>
      </c>
      <c r="K22" s="14" t="s">
        <v>544</v>
      </c>
      <c r="M22" s="19">
        <v>81.08</v>
      </c>
      <c r="N22" s="16">
        <v>2680651</v>
      </c>
      <c r="O22" s="50" t="s">
        <v>108</v>
      </c>
      <c r="P22" s="53">
        <f t="shared" si="0"/>
        <v>0</v>
      </c>
      <c r="Q22" s="16"/>
      <c r="R22" s="54">
        <f t="shared" si="1"/>
        <v>2680651</v>
      </c>
      <c r="S22" s="54">
        <f t="shared" si="2"/>
        <v>33061.803157375434</v>
      </c>
      <c r="U22" s="64" t="s">
        <v>108</v>
      </c>
      <c r="V22" s="64" t="s">
        <v>108</v>
      </c>
      <c r="X22" s="14">
        <v>5.3</v>
      </c>
      <c r="Y22" s="21" t="s">
        <v>108</v>
      </c>
      <c r="Z22" s="14">
        <v>2</v>
      </c>
      <c r="AA22" s="21" t="s">
        <v>107</v>
      </c>
      <c r="AB22" s="21" t="s">
        <v>107</v>
      </c>
      <c r="AC22" s="21" t="s">
        <v>107</v>
      </c>
      <c r="AD22" s="21" t="s">
        <v>107</v>
      </c>
      <c r="AE22" s="19">
        <v>5.5</v>
      </c>
      <c r="AF22" s="21" t="s">
        <v>108</v>
      </c>
      <c r="AG22" s="19"/>
      <c r="AH22" s="21" t="s">
        <v>108</v>
      </c>
      <c r="AI22" s="21" t="s">
        <v>108</v>
      </c>
      <c r="AJ22" s="14">
        <v>2</v>
      </c>
      <c r="AK22" s="14"/>
      <c r="AL22" s="14"/>
      <c r="AM22" s="21" t="s">
        <v>108</v>
      </c>
      <c r="AN22" s="19"/>
      <c r="AP22" s="17">
        <v>0.1</v>
      </c>
      <c r="AQ22" s="54">
        <f t="shared" si="3"/>
        <v>268065.10000000003</v>
      </c>
      <c r="AR22" s="17">
        <v>0.1</v>
      </c>
      <c r="AS22" s="54">
        <f t="shared" si="4"/>
        <v>268065.10000000003</v>
      </c>
      <c r="AT22" s="18">
        <v>18</v>
      </c>
      <c r="AU22" s="54">
        <f t="shared" si="5"/>
        <v>14892.505555555557</v>
      </c>
      <c r="AV22" s="54">
        <f t="shared" si="6"/>
        <v>536130.20000000007</v>
      </c>
      <c r="AW22" s="55">
        <f t="shared" si="7"/>
        <v>0.8</v>
      </c>
      <c r="AX22" s="54">
        <f t="shared" si="8"/>
        <v>2144520.7999999998</v>
      </c>
      <c r="AZ22" s="22">
        <v>45627</v>
      </c>
      <c r="BB22" s="54">
        <f t="shared" si="9"/>
        <v>80419.53</v>
      </c>
      <c r="BC22" s="54">
        <f t="shared" si="10"/>
        <v>53613.020000000004</v>
      </c>
      <c r="BD22" s="16">
        <v>302000</v>
      </c>
      <c r="BE22" s="16">
        <v>172500</v>
      </c>
      <c r="BF22" s="54">
        <f t="shared" si="11"/>
        <v>608532.55000000005</v>
      </c>
      <c r="BH22" s="54">
        <f t="shared" si="12"/>
        <v>2144520.7999999998</v>
      </c>
      <c r="BI22" s="56">
        <f t="shared" si="13"/>
        <v>45658</v>
      </c>
      <c r="BJ22" s="57">
        <f t="shared" si="14"/>
        <v>0.12</v>
      </c>
      <c r="BK22" s="58">
        <f t="shared" si="14"/>
        <v>15</v>
      </c>
      <c r="BL22" s="54">
        <f t="shared" si="15"/>
        <v>25737.853726509424</v>
      </c>
      <c r="BM22" s="56">
        <f>TIPOLOGÍAS!AZ22+(TIPOLOGÍAS!BK22*365.25)</f>
        <v>51105.75</v>
      </c>
      <c r="BN22" s="54">
        <f t="shared" si="16"/>
        <v>4632813.6707716957</v>
      </c>
      <c r="BP22" s="16">
        <v>28.5</v>
      </c>
      <c r="BQ22" s="54">
        <f t="shared" si="17"/>
        <v>2310.7799999999997</v>
      </c>
      <c r="BR22" s="56">
        <f t="shared" si="18"/>
        <v>45658</v>
      </c>
      <c r="BS22" s="54">
        <f t="shared" si="19"/>
        <v>5804.3840191941636</v>
      </c>
      <c r="BT22" s="56">
        <f>TIPOLOGÍAS!AZ22+(TIPOLOGÍAS!BK22*365.25)</f>
        <v>51105.75</v>
      </c>
      <c r="BU22" s="54">
        <f t="shared" si="20"/>
        <v>686170.96455871162</v>
      </c>
      <c r="BW22" s="16">
        <v>6560</v>
      </c>
      <c r="BX22" s="56">
        <f>TIPOLOGÍAS!AZ22+62</f>
        <v>45689</v>
      </c>
      <c r="BY22" s="59">
        <f t="shared" si="21"/>
        <v>6.8000000000000005E-2</v>
      </c>
      <c r="BZ22" s="54">
        <f t="shared" si="22"/>
        <v>17598.377512872641</v>
      </c>
      <c r="CA22" s="56">
        <f>TIPOLOGÍAS!AZ22+(TIPOLOGÍAS!BK22*365.25)</f>
        <v>51105.75</v>
      </c>
      <c r="CB22" s="67">
        <f t="shared" si="23"/>
        <v>11</v>
      </c>
      <c r="CC22" s="54">
        <f t="shared" si="24"/>
        <v>1772499.8917882214</v>
      </c>
      <c r="CE22" s="60">
        <f t="shared" si="25"/>
        <v>6463647.3853304069</v>
      </c>
      <c r="CF22" s="60">
        <f t="shared" si="26"/>
        <v>4691147.4935421851</v>
      </c>
      <c r="CG22" s="60">
        <f t="shared" ca="1" si="27"/>
        <v>28208.979470477654</v>
      </c>
      <c r="CH22" s="53">
        <f t="shared" ca="1" si="28"/>
        <v>4.850560558305974E-2</v>
      </c>
      <c r="CJ22" s="59">
        <f t="shared" si="29"/>
        <v>6.8000000000000005E-2</v>
      </c>
      <c r="CK22" s="61">
        <f t="shared" ca="1" si="30"/>
        <v>5061.75</v>
      </c>
      <c r="CL22" s="62">
        <f t="shared" ca="1" si="31"/>
        <v>166.29979466119096</v>
      </c>
      <c r="CM22" s="62">
        <f t="shared" ca="1" si="32"/>
        <v>13.858316221765913</v>
      </c>
      <c r="CN22" s="62" t="str">
        <f t="shared" ca="1" si="33"/>
        <v>13 años y 10 meses</v>
      </c>
      <c r="CO22" s="54">
        <f t="shared" ca="1" si="34"/>
        <v>6670981.4121937761</v>
      </c>
    </row>
    <row r="23" spans="1:94" hidden="1">
      <c r="B23" s="11">
        <v>21</v>
      </c>
      <c r="C23" s="48" t="s">
        <v>107</v>
      </c>
      <c r="D23" s="27" t="s">
        <v>160</v>
      </c>
      <c r="E23" s="27" t="s">
        <v>164</v>
      </c>
      <c r="F23" s="27" t="s">
        <v>547</v>
      </c>
      <c r="G23" s="28" t="s">
        <v>176</v>
      </c>
      <c r="I23" s="14" t="s">
        <v>139</v>
      </c>
      <c r="J23" s="14">
        <v>7</v>
      </c>
      <c r="K23" s="14" t="s">
        <v>138</v>
      </c>
      <c r="M23" s="19">
        <v>111</v>
      </c>
      <c r="N23" s="16">
        <v>2610650</v>
      </c>
      <c r="O23" s="50" t="s">
        <v>108</v>
      </c>
      <c r="P23" s="53">
        <f t="shared" si="0"/>
        <v>0</v>
      </c>
      <c r="Q23" s="16"/>
      <c r="R23" s="54">
        <f t="shared" si="1"/>
        <v>2610650</v>
      </c>
      <c r="S23" s="54">
        <f t="shared" si="2"/>
        <v>23519.369369369368</v>
      </c>
      <c r="U23" s="64" t="s">
        <v>108</v>
      </c>
      <c r="V23" s="64" t="s">
        <v>108</v>
      </c>
      <c r="X23" s="14">
        <v>5.5</v>
      </c>
      <c r="Y23" s="21" t="s">
        <v>108</v>
      </c>
      <c r="Z23" s="14">
        <v>1</v>
      </c>
      <c r="AA23" s="21" t="s">
        <v>107</v>
      </c>
      <c r="AB23" s="21" t="s">
        <v>107</v>
      </c>
      <c r="AC23" s="21" t="s">
        <v>107</v>
      </c>
      <c r="AD23" s="21" t="s">
        <v>108</v>
      </c>
      <c r="AE23" s="19"/>
      <c r="AF23" s="21" t="s">
        <v>108</v>
      </c>
      <c r="AG23" s="19"/>
      <c r="AH23" s="21" t="s">
        <v>108</v>
      </c>
      <c r="AI23" s="21" t="s">
        <v>108</v>
      </c>
      <c r="AJ23" s="14">
        <v>2</v>
      </c>
      <c r="AK23" s="14"/>
      <c r="AL23" s="14"/>
      <c r="AM23" s="21" t="s">
        <v>108</v>
      </c>
      <c r="AN23" s="19"/>
      <c r="AP23" s="17">
        <v>0.1</v>
      </c>
      <c r="AQ23" s="54">
        <f t="shared" si="3"/>
        <v>261065</v>
      </c>
      <c r="AR23" s="17">
        <v>0.1</v>
      </c>
      <c r="AS23" s="54">
        <f t="shared" si="4"/>
        <v>261065</v>
      </c>
      <c r="AT23" s="18">
        <v>30</v>
      </c>
      <c r="AU23" s="54">
        <f t="shared" si="5"/>
        <v>8702.1666666666661</v>
      </c>
      <c r="AV23" s="54">
        <f t="shared" si="6"/>
        <v>522130</v>
      </c>
      <c r="AW23" s="55">
        <f t="shared" si="7"/>
        <v>0.8</v>
      </c>
      <c r="AX23" s="54">
        <f t="shared" si="8"/>
        <v>2088520</v>
      </c>
      <c r="AZ23" s="22">
        <v>45597</v>
      </c>
      <c r="BB23" s="54">
        <f t="shared" si="9"/>
        <v>78319.5</v>
      </c>
      <c r="BC23" s="54">
        <f t="shared" si="10"/>
        <v>52213</v>
      </c>
      <c r="BD23" s="16">
        <v>235000</v>
      </c>
      <c r="BE23" s="16">
        <v>181500</v>
      </c>
      <c r="BF23" s="54">
        <f t="shared" si="11"/>
        <v>547032.5</v>
      </c>
      <c r="BH23" s="54">
        <f t="shared" si="12"/>
        <v>2088520</v>
      </c>
      <c r="BI23" s="56">
        <f t="shared" si="13"/>
        <v>45628</v>
      </c>
      <c r="BJ23" s="57">
        <f t="shared" si="14"/>
        <v>0.12</v>
      </c>
      <c r="BK23" s="58">
        <f t="shared" si="14"/>
        <v>15</v>
      </c>
      <c r="BL23" s="54">
        <f t="shared" si="15"/>
        <v>25065.75001039368</v>
      </c>
      <c r="BM23" s="56">
        <f>TIPOLOGÍAS!AZ23+(TIPOLOGÍAS!BK23*365.25)</f>
        <v>51075.75</v>
      </c>
      <c r="BN23" s="54">
        <f t="shared" si="16"/>
        <v>4511835.0018708622</v>
      </c>
      <c r="BP23" s="16">
        <v>27.5</v>
      </c>
      <c r="BQ23" s="54">
        <f t="shared" si="17"/>
        <v>3052.5</v>
      </c>
      <c r="BR23" s="56">
        <f t="shared" si="18"/>
        <v>45628</v>
      </c>
      <c r="BS23" s="54">
        <f t="shared" si="19"/>
        <v>7667.4898599564585</v>
      </c>
      <c r="BT23" s="56">
        <f>TIPOLOGÍAS!AZ23+(TIPOLOGÍAS!BK23*365.25)</f>
        <v>51075.75</v>
      </c>
      <c r="BU23" s="54">
        <f t="shared" si="20"/>
        <v>906419.85360591114</v>
      </c>
      <c r="BW23" s="16">
        <v>5900</v>
      </c>
      <c r="BX23" s="56">
        <f>TIPOLOGÍAS!AZ23+62</f>
        <v>45659</v>
      </c>
      <c r="BY23" s="59">
        <f t="shared" si="21"/>
        <v>6.8000000000000005E-2</v>
      </c>
      <c r="BZ23" s="54">
        <f t="shared" si="22"/>
        <v>15827.809043589725</v>
      </c>
      <c r="CA23" s="56">
        <f>TIPOLOGÍAS!AZ23+(TIPOLOGÍAS!BK23*365.25)</f>
        <v>51075.75</v>
      </c>
      <c r="CB23" s="67">
        <f t="shared" si="23"/>
        <v>11</v>
      </c>
      <c r="CC23" s="54">
        <f t="shared" si="24"/>
        <v>1594169.1099924552</v>
      </c>
      <c r="CE23" s="60">
        <f t="shared" si="25"/>
        <v>6487417.3554767733</v>
      </c>
      <c r="CF23" s="60">
        <f t="shared" si="26"/>
        <v>4893248.2454843186</v>
      </c>
      <c r="CG23" s="60">
        <f t="shared" ca="1" si="27"/>
        <v>29599.690658703024</v>
      </c>
      <c r="CH23" s="53">
        <f t="shared" ca="1" si="28"/>
        <v>3.8934043286769623E-2</v>
      </c>
      <c r="CJ23" s="59">
        <f t="shared" si="29"/>
        <v>6.8000000000000005E-2</v>
      </c>
      <c r="CK23" s="61">
        <f t="shared" ca="1" si="30"/>
        <v>5031.75</v>
      </c>
      <c r="CL23" s="62">
        <f t="shared" ca="1" si="31"/>
        <v>165.31416837782342</v>
      </c>
      <c r="CM23" s="62">
        <f t="shared" ca="1" si="32"/>
        <v>13.776180698151952</v>
      </c>
      <c r="CN23" s="62" t="str">
        <f t="shared" ca="1" si="33"/>
        <v>13 años y 9 meses</v>
      </c>
      <c r="CO23" s="54">
        <f t="shared" ca="1" si="34"/>
        <v>6461768.4477273328</v>
      </c>
    </row>
    <row r="24" spans="1:94">
      <c r="B24" s="12">
        <v>22</v>
      </c>
      <c r="C24" s="48" t="s">
        <v>107</v>
      </c>
      <c r="D24" s="27" t="s">
        <v>160</v>
      </c>
      <c r="E24" s="27" t="s">
        <v>138</v>
      </c>
      <c r="F24" s="27" t="s">
        <v>100</v>
      </c>
      <c r="G24" s="28" t="s">
        <v>179</v>
      </c>
      <c r="I24" s="14" t="s">
        <v>111</v>
      </c>
      <c r="J24" s="14">
        <v>12</v>
      </c>
      <c r="K24" s="14" t="s">
        <v>138</v>
      </c>
      <c r="M24" s="19">
        <v>79.92</v>
      </c>
      <c r="N24" s="16">
        <v>2540649</v>
      </c>
      <c r="O24" s="50" t="s">
        <v>108</v>
      </c>
      <c r="P24" s="53">
        <f t="shared" si="0"/>
        <v>0</v>
      </c>
      <c r="Q24" s="16"/>
      <c r="R24" s="54">
        <f t="shared" si="1"/>
        <v>2540649</v>
      </c>
      <c r="S24" s="54">
        <f t="shared" si="2"/>
        <v>31789.9024024024</v>
      </c>
      <c r="U24" s="64" t="s">
        <v>108</v>
      </c>
      <c r="V24" s="64" t="s">
        <v>108</v>
      </c>
      <c r="X24" s="14">
        <v>5.7</v>
      </c>
      <c r="Y24" s="21" t="s">
        <v>108</v>
      </c>
      <c r="Z24" s="14">
        <v>2</v>
      </c>
      <c r="AA24" s="21" t="s">
        <v>107</v>
      </c>
      <c r="AB24" s="21" t="s">
        <v>107</v>
      </c>
      <c r="AC24" s="21" t="s">
        <v>107</v>
      </c>
      <c r="AD24" s="21" t="s">
        <v>108</v>
      </c>
      <c r="AE24" s="19"/>
      <c r="AF24" s="21" t="s">
        <v>108</v>
      </c>
      <c r="AG24" s="19"/>
      <c r="AH24" s="21" t="s">
        <v>108</v>
      </c>
      <c r="AI24" s="21" t="s">
        <v>108</v>
      </c>
      <c r="AJ24" s="14">
        <v>1</v>
      </c>
      <c r="AK24" s="21" t="s">
        <v>108</v>
      </c>
      <c r="AL24" s="19"/>
      <c r="AM24" s="21" t="s">
        <v>108</v>
      </c>
      <c r="AN24" s="19"/>
      <c r="AP24" s="17">
        <v>0.05</v>
      </c>
      <c r="AQ24" s="54">
        <f t="shared" si="3"/>
        <v>127032.45000000001</v>
      </c>
      <c r="AR24" s="17">
        <v>0.05</v>
      </c>
      <c r="AS24" s="54">
        <f t="shared" si="4"/>
        <v>127032.45000000001</v>
      </c>
      <c r="AT24" s="18">
        <v>24</v>
      </c>
      <c r="AU24" s="54">
        <f t="shared" si="5"/>
        <v>5293.0187500000002</v>
      </c>
      <c r="AV24" s="54">
        <f t="shared" si="6"/>
        <v>254064.90000000002</v>
      </c>
      <c r="AW24" s="55">
        <f t="shared" si="7"/>
        <v>0.89999999999999991</v>
      </c>
      <c r="AX24" s="54">
        <f t="shared" si="8"/>
        <v>2286584.0999999996</v>
      </c>
      <c r="AZ24" s="22">
        <v>45261</v>
      </c>
      <c r="BB24" s="54">
        <f t="shared" si="9"/>
        <v>76219.47</v>
      </c>
      <c r="BC24" s="54">
        <f t="shared" si="10"/>
        <v>50812.98</v>
      </c>
      <c r="BD24" s="16">
        <v>255000</v>
      </c>
      <c r="BE24" s="16">
        <v>190500</v>
      </c>
      <c r="BF24" s="54">
        <f t="shared" si="11"/>
        <v>572532.44999999995</v>
      </c>
      <c r="BH24" s="54">
        <f t="shared" si="12"/>
        <v>2286584.0999999996</v>
      </c>
      <c r="BI24" s="56">
        <f t="shared" si="13"/>
        <v>45292</v>
      </c>
      <c r="BJ24" s="57">
        <f t="shared" si="14"/>
        <v>0.12</v>
      </c>
      <c r="BK24" s="58">
        <f t="shared" si="14"/>
        <v>15</v>
      </c>
      <c r="BL24" s="54">
        <f t="shared" si="15"/>
        <v>27442.852081062672</v>
      </c>
      <c r="BM24" s="56">
        <f>TIPOLOGÍAS!AZ24+(TIPOLOGÍAS!BK24*365.25)</f>
        <v>50739.75</v>
      </c>
      <c r="BN24" s="54">
        <f t="shared" si="16"/>
        <v>4939713.3745912807</v>
      </c>
      <c r="BP24" s="16">
        <v>26.5</v>
      </c>
      <c r="BQ24" s="54">
        <f t="shared" si="17"/>
        <v>2117.88</v>
      </c>
      <c r="BR24" s="56">
        <f t="shared" si="18"/>
        <v>45292</v>
      </c>
      <c r="BS24" s="54">
        <f t="shared" si="19"/>
        <v>5319.8438737443357</v>
      </c>
      <c r="BT24" s="56">
        <f>TIPOLOGÍAS!AZ24+(TIPOLOGÍAS!BK24*365.25)</f>
        <v>50739.75</v>
      </c>
      <c r="BU24" s="54">
        <f t="shared" si="20"/>
        <v>628890.57479275588</v>
      </c>
      <c r="BW24" s="16">
        <v>5240</v>
      </c>
      <c r="BX24" s="56">
        <f>TIPOLOGÍAS!AZ24+62</f>
        <v>45323</v>
      </c>
      <c r="BY24" s="59">
        <f t="shared" si="21"/>
        <v>6.8000000000000005E-2</v>
      </c>
      <c r="BZ24" s="54">
        <f t="shared" si="22"/>
        <v>14057.240574306807</v>
      </c>
      <c r="CA24" s="56">
        <f>TIPOLOGÍAS!AZ24+(TIPOLOGÍAS!BK24*365.25)</f>
        <v>50739.75</v>
      </c>
      <c r="CB24" s="67">
        <f t="shared" si="23"/>
        <v>11</v>
      </c>
      <c r="CC24" s="54">
        <f t="shared" si="24"/>
        <v>1415838.328196689</v>
      </c>
      <c r="CE24" s="60">
        <f t="shared" si="25"/>
        <v>6395201.2993840361</v>
      </c>
      <c r="CF24" s="60">
        <f t="shared" si="26"/>
        <v>4979362.9711873475</v>
      </c>
      <c r="CG24" s="60">
        <f t="shared" ca="1" si="27"/>
        <v>32275.858049409548</v>
      </c>
      <c r="CH24" s="53">
        <f t="shared" ca="1" si="28"/>
        <v>2.6355461948085954E-2</v>
      </c>
      <c r="CJ24" s="59">
        <f t="shared" si="29"/>
        <v>6.8000000000000005E-2</v>
      </c>
      <c r="CK24" s="61">
        <f t="shared" ca="1" si="30"/>
        <v>4695.75</v>
      </c>
      <c r="CL24" s="62">
        <f t="shared" ca="1" si="31"/>
        <v>154.27515400410678</v>
      </c>
      <c r="CM24" s="62">
        <f t="shared" ca="1" si="32"/>
        <v>12.856262833675565</v>
      </c>
      <c r="CN24" s="62" t="str">
        <f t="shared" ca="1" si="33"/>
        <v>12 años y 10 meses</v>
      </c>
      <c r="CO24" s="308">
        <f t="shared" ca="1" si="34"/>
        <v>5919216.2136870977</v>
      </c>
      <c r="CP24" s="4"/>
    </row>
    <row r="25" spans="1:94" hidden="1">
      <c r="B25" s="12">
        <v>23</v>
      </c>
      <c r="C25" s="48" t="s">
        <v>107</v>
      </c>
      <c r="D25" s="27" t="s">
        <v>160</v>
      </c>
      <c r="E25" s="27" t="s">
        <v>541</v>
      </c>
      <c r="F25" s="27" t="s">
        <v>546</v>
      </c>
      <c r="G25" s="28" t="s">
        <v>180</v>
      </c>
      <c r="I25" s="14" t="s">
        <v>540</v>
      </c>
      <c r="J25" s="14">
        <v>21</v>
      </c>
      <c r="K25" s="14" t="s">
        <v>539</v>
      </c>
      <c r="M25" s="19">
        <v>79.34</v>
      </c>
      <c r="N25" s="16">
        <v>2470648</v>
      </c>
      <c r="O25" s="50" t="s">
        <v>108</v>
      </c>
      <c r="P25" s="53">
        <f t="shared" si="0"/>
        <v>0</v>
      </c>
      <c r="Q25" s="16"/>
      <c r="R25" s="54">
        <f t="shared" si="1"/>
        <v>2470648</v>
      </c>
      <c r="S25" s="54">
        <f t="shared" si="2"/>
        <v>31140.005041593144</v>
      </c>
      <c r="U25" s="64" t="s">
        <v>108</v>
      </c>
      <c r="V25" s="64" t="s">
        <v>108</v>
      </c>
      <c r="X25" s="14">
        <v>5.9</v>
      </c>
      <c r="Y25" s="21" t="s">
        <v>108</v>
      </c>
      <c r="Z25" s="14">
        <v>1</v>
      </c>
      <c r="AA25" s="21" t="s">
        <v>107</v>
      </c>
      <c r="AB25" s="21" t="s">
        <v>107</v>
      </c>
      <c r="AC25" s="21" t="s">
        <v>107</v>
      </c>
      <c r="AD25" s="21" t="s">
        <v>107</v>
      </c>
      <c r="AE25" s="19">
        <v>6</v>
      </c>
      <c r="AF25" s="21" t="s">
        <v>108</v>
      </c>
      <c r="AG25" s="19"/>
      <c r="AH25" s="21" t="s">
        <v>108</v>
      </c>
      <c r="AI25" s="21" t="s">
        <v>108</v>
      </c>
      <c r="AJ25" s="14">
        <v>2</v>
      </c>
      <c r="AK25" s="14"/>
      <c r="AL25" s="14"/>
      <c r="AM25" s="21" t="s">
        <v>108</v>
      </c>
      <c r="AN25" s="19"/>
      <c r="AP25" s="17">
        <v>0.1</v>
      </c>
      <c r="AQ25" s="54">
        <f t="shared" si="3"/>
        <v>247064.80000000002</v>
      </c>
      <c r="AR25" s="17">
        <v>0.1</v>
      </c>
      <c r="AS25" s="54">
        <f t="shared" si="4"/>
        <v>247064.80000000002</v>
      </c>
      <c r="AT25" s="18">
        <v>23</v>
      </c>
      <c r="AU25" s="54">
        <f t="shared" si="5"/>
        <v>10741.947826086956</v>
      </c>
      <c r="AV25" s="54">
        <f t="shared" si="6"/>
        <v>494129.60000000003</v>
      </c>
      <c r="AW25" s="55">
        <f t="shared" si="7"/>
        <v>0.8</v>
      </c>
      <c r="AX25" s="54">
        <f t="shared" si="8"/>
        <v>1976518.4000000001</v>
      </c>
      <c r="AZ25" s="22">
        <v>45748</v>
      </c>
      <c r="BB25" s="54">
        <f t="shared" si="9"/>
        <v>74119.44</v>
      </c>
      <c r="BC25" s="54">
        <f t="shared" si="10"/>
        <v>49412.959999999999</v>
      </c>
      <c r="BD25" s="16">
        <v>278500</v>
      </c>
      <c r="BE25" s="16">
        <v>199500</v>
      </c>
      <c r="BF25" s="54">
        <f t="shared" si="11"/>
        <v>601532.4</v>
      </c>
      <c r="BH25" s="54">
        <f t="shared" si="12"/>
        <v>1976518.4000000001</v>
      </c>
      <c r="BI25" s="56">
        <f t="shared" si="13"/>
        <v>45779</v>
      </c>
      <c r="BJ25" s="57">
        <f t="shared" si="14"/>
        <v>0.12</v>
      </c>
      <c r="BK25" s="58">
        <f t="shared" si="14"/>
        <v>15</v>
      </c>
      <c r="BL25" s="54">
        <f t="shared" si="15"/>
        <v>23721.542578162193</v>
      </c>
      <c r="BM25" s="56">
        <f>TIPOLOGÍAS!AZ25+(TIPOLOGÍAS!BK25*365.25)</f>
        <v>51226.75</v>
      </c>
      <c r="BN25" s="54">
        <f t="shared" si="16"/>
        <v>4269877.6640691943</v>
      </c>
      <c r="BP25" s="16">
        <v>25.5</v>
      </c>
      <c r="BQ25" s="54">
        <f t="shared" si="17"/>
        <v>2023.17</v>
      </c>
      <c r="BR25" s="56">
        <f t="shared" si="18"/>
        <v>45779</v>
      </c>
      <c r="BS25" s="54">
        <f t="shared" si="19"/>
        <v>5081.9444586300115</v>
      </c>
      <c r="BT25" s="56">
        <f>TIPOLOGÍAS!AZ25+(TIPOLOGÍAS!BK25*365.25)</f>
        <v>51226.75</v>
      </c>
      <c r="BU25" s="54">
        <f t="shared" si="20"/>
        <v>600767.06149709132</v>
      </c>
      <c r="BW25" s="16">
        <v>4580</v>
      </c>
      <c r="BX25" s="56">
        <f>TIPOLOGÍAS!AZ25+62</f>
        <v>45810</v>
      </c>
      <c r="BY25" s="59">
        <f t="shared" si="21"/>
        <v>6.8000000000000005E-2</v>
      </c>
      <c r="BZ25" s="54">
        <f t="shared" si="22"/>
        <v>12286.672105023887</v>
      </c>
      <c r="CA25" s="56">
        <f>TIPOLOGÍAS!AZ25+(TIPOLOGÍAS!BK25*365.25)</f>
        <v>51226.75</v>
      </c>
      <c r="CB25" s="67">
        <f t="shared" si="23"/>
        <v>11</v>
      </c>
      <c r="CC25" s="54">
        <f t="shared" si="24"/>
        <v>1237507.5464009228</v>
      </c>
      <c r="CE25" s="60">
        <f t="shared" si="25"/>
        <v>5966306.7255662857</v>
      </c>
      <c r="CF25" s="60">
        <f t="shared" si="26"/>
        <v>4728799.1791653633</v>
      </c>
      <c r="CG25" s="60">
        <f t="shared" ca="1" si="27"/>
        <v>27771.516090076839</v>
      </c>
      <c r="CH25" s="53">
        <f t="shared" ca="1" si="28"/>
        <v>3.8608903900031716E-2</v>
      </c>
      <c r="CJ25" s="59">
        <f t="shared" si="29"/>
        <v>6.8000000000000005E-2</v>
      </c>
      <c r="CK25" s="61">
        <f t="shared" ca="1" si="30"/>
        <v>5182.75</v>
      </c>
      <c r="CL25" s="62">
        <f t="shared" ca="1" si="31"/>
        <v>170.27515400410678</v>
      </c>
      <c r="CM25" s="62">
        <f t="shared" ca="1" si="32"/>
        <v>14.189596167008899</v>
      </c>
      <c r="CN25" s="62" t="str">
        <f t="shared" ca="1" si="33"/>
        <v>14 años y 2 meses</v>
      </c>
      <c r="CO25" s="54">
        <f t="shared" ca="1" si="34"/>
        <v>6283844.2529373728</v>
      </c>
    </row>
    <row r="26" spans="1:94">
      <c r="B26" s="12">
        <v>24</v>
      </c>
      <c r="C26" s="48" t="s">
        <v>107</v>
      </c>
      <c r="D26" s="27" t="s">
        <v>160</v>
      </c>
      <c r="E26" s="27" t="s">
        <v>543</v>
      </c>
      <c r="F26" s="27" t="s">
        <v>542</v>
      </c>
      <c r="G26" s="28" t="s">
        <v>181</v>
      </c>
      <c r="I26" s="14" t="s">
        <v>545</v>
      </c>
      <c r="J26" s="14">
        <v>20</v>
      </c>
      <c r="K26" s="14" t="s">
        <v>544</v>
      </c>
      <c r="M26" s="19">
        <v>99</v>
      </c>
      <c r="N26" s="16">
        <v>2400647</v>
      </c>
      <c r="O26" s="50" t="s">
        <v>108</v>
      </c>
      <c r="P26" s="53">
        <f t="shared" si="0"/>
        <v>0</v>
      </c>
      <c r="Q26" s="16"/>
      <c r="R26" s="54">
        <f t="shared" si="1"/>
        <v>2400647</v>
      </c>
      <c r="S26" s="54">
        <f t="shared" si="2"/>
        <v>24248.959595959597</v>
      </c>
      <c r="U26" s="64" t="s">
        <v>108</v>
      </c>
      <c r="V26" s="64" t="s">
        <v>108</v>
      </c>
      <c r="X26" s="14">
        <v>6.1</v>
      </c>
      <c r="Y26" s="21" t="s">
        <v>108</v>
      </c>
      <c r="Z26" s="14">
        <v>1</v>
      </c>
      <c r="AA26" s="21" t="s">
        <v>107</v>
      </c>
      <c r="AB26" s="21" t="s">
        <v>107</v>
      </c>
      <c r="AC26" s="21" t="s">
        <v>107</v>
      </c>
      <c r="AD26" s="21" t="s">
        <v>107</v>
      </c>
      <c r="AE26" s="19">
        <v>6</v>
      </c>
      <c r="AF26" s="21" t="s">
        <v>108</v>
      </c>
      <c r="AG26" s="19"/>
      <c r="AH26" s="21" t="s">
        <v>108</v>
      </c>
      <c r="AI26" s="21" t="s">
        <v>108</v>
      </c>
      <c r="AJ26" s="14">
        <v>2</v>
      </c>
      <c r="AK26" s="21" t="s">
        <v>108</v>
      </c>
      <c r="AL26" s="19"/>
      <c r="AM26" s="21" t="s">
        <v>108</v>
      </c>
      <c r="AN26" s="19"/>
      <c r="AP26" s="17">
        <v>0.1</v>
      </c>
      <c r="AQ26" s="54">
        <f t="shared" si="3"/>
        <v>240064.7</v>
      </c>
      <c r="AR26" s="17">
        <v>0.1</v>
      </c>
      <c r="AS26" s="54">
        <f t="shared" si="4"/>
        <v>240064.7</v>
      </c>
      <c r="AT26" s="18">
        <v>26</v>
      </c>
      <c r="AU26" s="54">
        <f t="shared" si="5"/>
        <v>9233.2576923076922</v>
      </c>
      <c r="AV26" s="54">
        <f t="shared" si="6"/>
        <v>480129.4</v>
      </c>
      <c r="AW26" s="55">
        <f t="shared" si="7"/>
        <v>0.8</v>
      </c>
      <c r="AX26" s="54">
        <f t="shared" si="8"/>
        <v>1920517.5999999999</v>
      </c>
      <c r="AZ26" s="22">
        <v>45627</v>
      </c>
      <c r="BB26" s="54">
        <f t="shared" si="9"/>
        <v>72019.41</v>
      </c>
      <c r="BC26" s="54">
        <f t="shared" si="10"/>
        <v>48012.94</v>
      </c>
      <c r="BD26" s="16">
        <v>302000</v>
      </c>
      <c r="BE26" s="16">
        <v>208500</v>
      </c>
      <c r="BF26" s="54">
        <f t="shared" si="11"/>
        <v>630532.35</v>
      </c>
      <c r="BH26" s="54">
        <f t="shared" si="12"/>
        <v>1920517.5999999999</v>
      </c>
      <c r="BI26" s="56">
        <f t="shared" si="13"/>
        <v>45658</v>
      </c>
      <c r="BJ26" s="57">
        <f t="shared" si="14"/>
        <v>0.12</v>
      </c>
      <c r="BK26" s="58">
        <f t="shared" si="14"/>
        <v>15</v>
      </c>
      <c r="BL26" s="54">
        <f t="shared" si="15"/>
        <v>23049.438862046445</v>
      </c>
      <c r="BM26" s="56">
        <f>TIPOLOGÍAS!AZ26+(TIPOLOGÍAS!BK26*365.25)</f>
        <v>51105.75</v>
      </c>
      <c r="BN26" s="54">
        <f t="shared" si="16"/>
        <v>4148898.99516836</v>
      </c>
      <c r="BP26" s="16">
        <v>24.5</v>
      </c>
      <c r="BQ26" s="54">
        <f t="shared" si="17"/>
        <v>2425.5</v>
      </c>
      <c r="BR26" s="56">
        <f t="shared" si="18"/>
        <v>45658</v>
      </c>
      <c r="BS26" s="54">
        <f t="shared" si="19"/>
        <v>6092.5459968302666</v>
      </c>
      <c r="BT26" s="56">
        <f>TIPOLOGÍAS!AZ26+(TIPOLOGÍAS!BK26*365.25)</f>
        <v>51105.75</v>
      </c>
      <c r="BU26" s="54">
        <f t="shared" si="20"/>
        <v>720236.31610848079</v>
      </c>
      <c r="BW26" s="16">
        <v>3920</v>
      </c>
      <c r="BX26" s="56">
        <f>TIPOLOGÍAS!AZ26+62</f>
        <v>45689</v>
      </c>
      <c r="BY26" s="59">
        <f t="shared" si="21"/>
        <v>6.8000000000000005E-2</v>
      </c>
      <c r="BZ26" s="54">
        <f t="shared" si="22"/>
        <v>10516.103635740968</v>
      </c>
      <c r="CA26" s="56">
        <f>TIPOLOGÍAS!AZ26+(TIPOLOGÍAS!BK26*365.25)</f>
        <v>51105.75</v>
      </c>
      <c r="CB26" s="67">
        <f t="shared" si="23"/>
        <v>11</v>
      </c>
      <c r="CC26" s="54">
        <f t="shared" si="24"/>
        <v>1059176.7646051566</v>
      </c>
      <c r="CE26" s="60">
        <f t="shared" si="25"/>
        <v>5979797.061276841</v>
      </c>
      <c r="CF26" s="60">
        <f t="shared" si="26"/>
        <v>4920620.2966716848</v>
      </c>
      <c r="CG26" s="60">
        <f t="shared" ca="1" si="27"/>
        <v>29588.853712637807</v>
      </c>
      <c r="CH26" s="53">
        <f t="shared" ca="1" si="28"/>
        <v>2.7334612455490084E-2</v>
      </c>
      <c r="CJ26" s="59">
        <f t="shared" si="29"/>
        <v>6.8000000000000005E-2</v>
      </c>
      <c r="CK26" s="61">
        <f t="shared" ca="1" si="30"/>
        <v>5061.75</v>
      </c>
      <c r="CL26" s="62">
        <f t="shared" ca="1" si="31"/>
        <v>166.29979466119096</v>
      </c>
      <c r="CM26" s="62">
        <f t="shared" ca="1" si="32"/>
        <v>13.858316221765913</v>
      </c>
      <c r="CN26" s="62" t="str">
        <f t="shared" ca="1" si="33"/>
        <v>13 años y 10 meses</v>
      </c>
      <c r="CO26" s="308">
        <f t="shared" ca="1" si="34"/>
        <v>5974172.5104233082</v>
      </c>
      <c r="CP26" s="4"/>
    </row>
    <row r="27" spans="1:94">
      <c r="B27" s="3">
        <v>25</v>
      </c>
      <c r="C27" s="48" t="s">
        <v>107</v>
      </c>
      <c r="D27" s="27" t="s">
        <v>160</v>
      </c>
      <c r="E27" s="27" t="s">
        <v>541</v>
      </c>
      <c r="F27" s="27" t="s">
        <v>537</v>
      </c>
      <c r="G27" s="28" t="s">
        <v>179</v>
      </c>
      <c r="I27" s="14" t="s">
        <v>139</v>
      </c>
      <c r="J27" s="14">
        <v>20</v>
      </c>
      <c r="K27" s="14" t="s">
        <v>138</v>
      </c>
      <c r="M27" s="19">
        <v>78.180000000000007</v>
      </c>
      <c r="N27" s="16">
        <v>2330646</v>
      </c>
      <c r="O27" s="50" t="s">
        <v>108</v>
      </c>
      <c r="P27" s="53">
        <f t="shared" si="0"/>
        <v>0</v>
      </c>
      <c r="Q27" s="16"/>
      <c r="R27" s="54">
        <f t="shared" si="1"/>
        <v>2330646</v>
      </c>
      <c r="S27" s="54">
        <f t="shared" si="2"/>
        <v>29811.281657712967</v>
      </c>
      <c r="U27" s="64" t="s">
        <v>108</v>
      </c>
      <c r="V27" s="64" t="s">
        <v>108</v>
      </c>
      <c r="X27" s="14">
        <v>6.3</v>
      </c>
      <c r="Y27" s="21" t="s">
        <v>108</v>
      </c>
      <c r="Z27" s="14">
        <v>2</v>
      </c>
      <c r="AA27" s="21" t="s">
        <v>107</v>
      </c>
      <c r="AB27" s="21" t="s">
        <v>107</v>
      </c>
      <c r="AC27" s="21" t="s">
        <v>107</v>
      </c>
      <c r="AD27" s="21" t="s">
        <v>108</v>
      </c>
      <c r="AE27" s="19"/>
      <c r="AF27" s="21" t="s">
        <v>108</v>
      </c>
      <c r="AG27" s="19"/>
      <c r="AH27" s="21" t="s">
        <v>108</v>
      </c>
      <c r="AI27" s="21" t="s">
        <v>108</v>
      </c>
      <c r="AJ27" s="14">
        <v>2</v>
      </c>
      <c r="AK27" s="21" t="s">
        <v>108</v>
      </c>
      <c r="AL27" s="19"/>
      <c r="AM27" s="21" t="s">
        <v>108</v>
      </c>
      <c r="AN27" s="19"/>
      <c r="AP27" s="17">
        <v>0.1</v>
      </c>
      <c r="AQ27" s="54">
        <f t="shared" si="3"/>
        <v>233064.6</v>
      </c>
      <c r="AR27" s="17">
        <v>0.1</v>
      </c>
      <c r="AS27" s="54">
        <f t="shared" si="4"/>
        <v>233064.6</v>
      </c>
      <c r="AT27" s="18">
        <v>29</v>
      </c>
      <c r="AU27" s="54">
        <f t="shared" si="5"/>
        <v>8036.7103448275866</v>
      </c>
      <c r="AV27" s="54">
        <f t="shared" si="6"/>
        <v>466129.2</v>
      </c>
      <c r="AW27" s="55">
        <f t="shared" si="7"/>
        <v>0.8</v>
      </c>
      <c r="AX27" s="54">
        <f t="shared" si="8"/>
        <v>1864516.7999999998</v>
      </c>
      <c r="AZ27" s="22">
        <v>45597</v>
      </c>
      <c r="BB27" s="54">
        <f t="shared" si="9"/>
        <v>69919.38</v>
      </c>
      <c r="BC27" s="54">
        <f t="shared" si="10"/>
        <v>46612.92</v>
      </c>
      <c r="BD27" s="16">
        <v>325500</v>
      </c>
      <c r="BE27" s="16">
        <v>217500</v>
      </c>
      <c r="BF27" s="54">
        <f t="shared" si="11"/>
        <v>659532.30000000005</v>
      </c>
      <c r="BH27" s="54">
        <f t="shared" si="12"/>
        <v>1864516.7999999998</v>
      </c>
      <c r="BI27" s="56">
        <f t="shared" si="13"/>
        <v>45628</v>
      </c>
      <c r="BJ27" s="57">
        <f t="shared" si="14"/>
        <v>0.12</v>
      </c>
      <c r="BK27" s="58">
        <f t="shared" si="14"/>
        <v>15</v>
      </c>
      <c r="BL27" s="54">
        <f t="shared" si="15"/>
        <v>22377.335145930698</v>
      </c>
      <c r="BM27" s="56">
        <f>TIPOLOGÍAS!AZ27+(TIPOLOGÍAS!BK27*365.25)</f>
        <v>51075.75</v>
      </c>
      <c r="BN27" s="54">
        <f t="shared" si="16"/>
        <v>4027920.3262675256</v>
      </c>
      <c r="BP27" s="16">
        <v>23.5</v>
      </c>
      <c r="BQ27" s="54">
        <f t="shared" si="17"/>
        <v>1837.2300000000002</v>
      </c>
      <c r="BR27" s="56">
        <f t="shared" si="18"/>
        <v>45628</v>
      </c>
      <c r="BS27" s="54">
        <f t="shared" si="19"/>
        <v>4614.8869436225414</v>
      </c>
      <c r="BT27" s="56">
        <f>TIPOLOGÍAS!AZ27+(TIPOLOGÍAS!BK27*365.25)</f>
        <v>51075.75</v>
      </c>
      <c r="BU27" s="54">
        <f t="shared" si="20"/>
        <v>545553.39808038925</v>
      </c>
      <c r="BW27" s="16">
        <v>3260</v>
      </c>
      <c r="BX27" s="56">
        <f>TIPOLOGÍAS!AZ27+62</f>
        <v>45659</v>
      </c>
      <c r="BY27" s="59">
        <f t="shared" si="21"/>
        <v>6.8000000000000005E-2</v>
      </c>
      <c r="BZ27" s="54">
        <f t="shared" si="22"/>
        <v>8745.5351664580503</v>
      </c>
      <c r="CA27" s="56">
        <f>TIPOLOGÍAS!AZ27+(TIPOLOGÍAS!BK27*365.25)</f>
        <v>51075.75</v>
      </c>
      <c r="CB27" s="67">
        <f t="shared" si="23"/>
        <v>11</v>
      </c>
      <c r="CC27" s="54">
        <f t="shared" si="24"/>
        <v>880845.98280939052</v>
      </c>
      <c r="CE27" s="60">
        <f t="shared" si="25"/>
        <v>5699135.2243479146</v>
      </c>
      <c r="CF27" s="60">
        <f t="shared" si="26"/>
        <v>4818289.2415385237</v>
      </c>
      <c r="CG27" s="60">
        <f t="shared" ca="1" si="27"/>
        <v>29146.257025752235</v>
      </c>
      <c r="CH27" s="53">
        <f t="shared" ca="1" si="28"/>
        <v>2.5569977287889914E-2</v>
      </c>
      <c r="CJ27" s="59">
        <f t="shared" si="29"/>
        <v>6.8000000000000005E-2</v>
      </c>
      <c r="CK27" s="61">
        <f t="shared" ca="1" si="30"/>
        <v>5031.75</v>
      </c>
      <c r="CL27" s="62">
        <f t="shared" ca="1" si="31"/>
        <v>165.31416837782342</v>
      </c>
      <c r="CM27" s="62">
        <f t="shared" ca="1" si="32"/>
        <v>13.776180698151952</v>
      </c>
      <c r="CN27" s="62" t="str">
        <f t="shared" ca="1" si="33"/>
        <v>13 años y 9 meses</v>
      </c>
      <c r="CO27" s="308">
        <f t="shared" ca="1" si="34"/>
        <v>5768714.6057962254</v>
      </c>
      <c r="CP27" s="4"/>
    </row>
    <row r="28" spans="1:94" hidden="1">
      <c r="B28" s="11">
        <v>26</v>
      </c>
      <c r="C28" s="48" t="s">
        <v>107</v>
      </c>
      <c r="D28" s="27" t="s">
        <v>160</v>
      </c>
      <c r="E28" s="27" t="s">
        <v>543</v>
      </c>
      <c r="F28" s="27" t="s">
        <v>542</v>
      </c>
      <c r="G28" s="28" t="s">
        <v>180</v>
      </c>
      <c r="I28" s="14" t="s">
        <v>111</v>
      </c>
      <c r="J28" s="14">
        <v>8</v>
      </c>
      <c r="K28" s="14" t="s">
        <v>138</v>
      </c>
      <c r="M28" s="19">
        <v>77.599999999999994</v>
      </c>
      <c r="N28" s="16">
        <v>2260645</v>
      </c>
      <c r="O28" s="50" t="s">
        <v>108</v>
      </c>
      <c r="P28" s="53">
        <f t="shared" si="0"/>
        <v>0</v>
      </c>
      <c r="Q28" s="16"/>
      <c r="R28" s="54">
        <f t="shared" si="1"/>
        <v>2260645</v>
      </c>
      <c r="S28" s="54">
        <f t="shared" si="2"/>
        <v>29132.023195876292</v>
      </c>
      <c r="U28" s="64" t="s">
        <v>108</v>
      </c>
      <c r="V28" s="64" t="s">
        <v>108</v>
      </c>
      <c r="X28" s="14">
        <v>6.5</v>
      </c>
      <c r="Y28" s="21" t="s">
        <v>108</v>
      </c>
      <c r="Z28" s="14">
        <v>1</v>
      </c>
      <c r="AA28" s="21" t="s">
        <v>107</v>
      </c>
      <c r="AB28" s="21" t="s">
        <v>107</v>
      </c>
      <c r="AC28" s="21" t="s">
        <v>107</v>
      </c>
      <c r="AD28" s="21" t="s">
        <v>108</v>
      </c>
      <c r="AE28" s="19"/>
      <c r="AF28" s="21" t="s">
        <v>108</v>
      </c>
      <c r="AG28" s="19"/>
      <c r="AH28" s="21" t="s">
        <v>108</v>
      </c>
      <c r="AI28" s="21" t="s">
        <v>108</v>
      </c>
      <c r="AJ28" s="14">
        <v>2</v>
      </c>
      <c r="AK28" s="14"/>
      <c r="AL28" s="14"/>
      <c r="AM28" s="21" t="s">
        <v>108</v>
      </c>
      <c r="AN28" s="19"/>
      <c r="AP28" s="17">
        <v>0.15</v>
      </c>
      <c r="AQ28" s="54">
        <f t="shared" si="3"/>
        <v>339096.75</v>
      </c>
      <c r="AR28" s="17">
        <v>0.15</v>
      </c>
      <c r="AS28" s="54">
        <f t="shared" si="4"/>
        <v>339096.75</v>
      </c>
      <c r="AT28" s="18">
        <v>32</v>
      </c>
      <c r="AU28" s="54">
        <f t="shared" si="5"/>
        <v>10596.7734375</v>
      </c>
      <c r="AV28" s="54">
        <f t="shared" si="6"/>
        <v>678193.5</v>
      </c>
      <c r="AW28" s="55">
        <f t="shared" si="7"/>
        <v>0.7</v>
      </c>
      <c r="AX28" s="54">
        <f t="shared" si="8"/>
        <v>1582451.5</v>
      </c>
      <c r="AZ28" s="22">
        <v>45261</v>
      </c>
      <c r="BB28" s="54">
        <f t="shared" si="9"/>
        <v>67819.349999999991</v>
      </c>
      <c r="BC28" s="54">
        <f t="shared" si="10"/>
        <v>45212.9</v>
      </c>
      <c r="BD28" s="16">
        <v>349000</v>
      </c>
      <c r="BE28" s="16">
        <v>226500</v>
      </c>
      <c r="BF28" s="54">
        <f t="shared" si="11"/>
        <v>688532.25</v>
      </c>
      <c r="BH28" s="54">
        <f t="shared" si="12"/>
        <v>1582451.5</v>
      </c>
      <c r="BI28" s="56">
        <f t="shared" si="13"/>
        <v>45292</v>
      </c>
      <c r="BJ28" s="57">
        <f t="shared" si="14"/>
        <v>0.12</v>
      </c>
      <c r="BK28" s="58">
        <f t="shared" si="14"/>
        <v>15</v>
      </c>
      <c r="BL28" s="54">
        <f t="shared" si="15"/>
        <v>18992.077501088086</v>
      </c>
      <c r="BM28" s="56">
        <f>TIPOLOGÍAS!AZ28+(TIPOLOGÍAS!BK28*365.25)</f>
        <v>50739.75</v>
      </c>
      <c r="BN28" s="54">
        <f t="shared" si="16"/>
        <v>3418573.9501958555</v>
      </c>
      <c r="BP28" s="16">
        <v>22.5</v>
      </c>
      <c r="BQ28" s="54">
        <f t="shared" si="17"/>
        <v>1745.9999999999998</v>
      </c>
      <c r="BR28" s="56">
        <f t="shared" si="18"/>
        <v>45292</v>
      </c>
      <c r="BS28" s="54">
        <f t="shared" si="19"/>
        <v>4385.7288437293937</v>
      </c>
      <c r="BT28" s="56">
        <f>TIPOLOGÍAS!AZ28+(TIPOLOGÍAS!BK28*365.25)</f>
        <v>50739.75</v>
      </c>
      <c r="BU28" s="54">
        <f t="shared" si="20"/>
        <v>518463.24795935157</v>
      </c>
      <c r="BW28" s="16">
        <v>2600</v>
      </c>
      <c r="BX28" s="56">
        <f>TIPOLOGÍAS!AZ28+62</f>
        <v>45323</v>
      </c>
      <c r="BY28" s="59">
        <f t="shared" si="21"/>
        <v>6.8000000000000005E-2</v>
      </c>
      <c r="BZ28" s="54">
        <f t="shared" si="22"/>
        <v>6974.966697175133</v>
      </c>
      <c r="CA28" s="56">
        <f>TIPOLOGÍAS!AZ28+(TIPOLOGÍAS!BK28*365.25)</f>
        <v>50739.75</v>
      </c>
      <c r="CB28" s="67">
        <f t="shared" si="23"/>
        <v>11</v>
      </c>
      <c r="CC28" s="54">
        <f t="shared" si="24"/>
        <v>702515.20101362432</v>
      </c>
      <c r="CE28" s="60">
        <f t="shared" si="25"/>
        <v>5303762.9481552066</v>
      </c>
      <c r="CF28" s="60">
        <f t="shared" si="26"/>
        <v>4601247.747141582</v>
      </c>
      <c r="CG28" s="60">
        <f t="shared" ca="1" si="27"/>
        <v>29824.943470930499</v>
      </c>
      <c r="CH28" s="53">
        <f t="shared" ca="1" si="28"/>
        <v>2.0711595173197896E-2</v>
      </c>
      <c r="CJ28" s="59">
        <f t="shared" si="29"/>
        <v>6.8000000000000005E-2</v>
      </c>
      <c r="CK28" s="61">
        <f t="shared" ca="1" si="30"/>
        <v>4695.75</v>
      </c>
      <c r="CL28" s="62">
        <f t="shared" ca="1" si="31"/>
        <v>154.27515400410678</v>
      </c>
      <c r="CM28" s="62">
        <f t="shared" ca="1" si="32"/>
        <v>12.856262833675565</v>
      </c>
      <c r="CN28" s="62" t="str">
        <f t="shared" ca="1" si="33"/>
        <v>12 años y 10 meses</v>
      </c>
      <c r="CO28" s="54">
        <f t="shared" ca="1" si="34"/>
        <v>5266861.5528515233</v>
      </c>
    </row>
    <row r="29" spans="1:94" hidden="1">
      <c r="B29" s="309">
        <v>27</v>
      </c>
      <c r="C29" s="281" t="s">
        <v>107</v>
      </c>
      <c r="D29" s="310" t="s">
        <v>160</v>
      </c>
      <c r="E29" s="310" t="s">
        <v>541</v>
      </c>
      <c r="F29" s="310" t="s">
        <v>537</v>
      </c>
      <c r="G29" s="311" t="s">
        <v>181</v>
      </c>
      <c r="I29" s="282" t="s">
        <v>540</v>
      </c>
      <c r="J29" s="282">
        <v>14</v>
      </c>
      <c r="K29" s="282" t="s">
        <v>539</v>
      </c>
      <c r="M29" s="312">
        <v>56</v>
      </c>
      <c r="N29" s="313">
        <v>2190644</v>
      </c>
      <c r="O29" s="314" t="s">
        <v>108</v>
      </c>
      <c r="P29" s="315">
        <f t="shared" si="0"/>
        <v>0</v>
      </c>
      <c r="Q29" s="313"/>
      <c r="R29" s="316">
        <f t="shared" si="1"/>
        <v>2190644</v>
      </c>
      <c r="S29" s="316">
        <f t="shared" si="2"/>
        <v>39118.642857142855</v>
      </c>
      <c r="U29" s="317" t="s">
        <v>108</v>
      </c>
      <c r="V29" s="317" t="s">
        <v>108</v>
      </c>
      <c r="X29" s="282">
        <v>6.7</v>
      </c>
      <c r="Y29" s="318" t="s">
        <v>108</v>
      </c>
      <c r="Z29" s="282">
        <v>1</v>
      </c>
      <c r="AA29" s="318" t="s">
        <v>107</v>
      </c>
      <c r="AB29" s="318" t="s">
        <v>107</v>
      </c>
      <c r="AC29" s="318" t="s">
        <v>107</v>
      </c>
      <c r="AD29" s="318" t="s">
        <v>107</v>
      </c>
      <c r="AE29" s="312">
        <v>5</v>
      </c>
      <c r="AF29" s="318" t="s">
        <v>108</v>
      </c>
      <c r="AG29" s="312"/>
      <c r="AH29" s="318" t="s">
        <v>108</v>
      </c>
      <c r="AI29" s="318" t="s">
        <v>108</v>
      </c>
      <c r="AJ29" s="282">
        <v>2</v>
      </c>
      <c r="AK29" s="282"/>
      <c r="AL29" s="282"/>
      <c r="AM29" s="318" t="s">
        <v>108</v>
      </c>
      <c r="AN29" s="312"/>
      <c r="AP29" s="319">
        <v>0.2</v>
      </c>
      <c r="AQ29" s="316">
        <f t="shared" si="3"/>
        <v>438128.80000000005</v>
      </c>
      <c r="AR29" s="319">
        <v>0.2</v>
      </c>
      <c r="AS29" s="316">
        <f t="shared" si="4"/>
        <v>438128.80000000005</v>
      </c>
      <c r="AT29" s="320">
        <v>35</v>
      </c>
      <c r="AU29" s="316">
        <f t="shared" si="5"/>
        <v>12517.965714285716</v>
      </c>
      <c r="AV29" s="316">
        <f t="shared" si="6"/>
        <v>876257.60000000009</v>
      </c>
      <c r="AW29" s="321">
        <f t="shared" si="7"/>
        <v>0.60000000000000009</v>
      </c>
      <c r="AX29" s="316">
        <f t="shared" si="8"/>
        <v>1314386.3999999999</v>
      </c>
      <c r="AZ29" s="322">
        <v>45748</v>
      </c>
      <c r="BB29" s="316">
        <f t="shared" si="9"/>
        <v>65719.319999999992</v>
      </c>
      <c r="BC29" s="316">
        <f t="shared" si="10"/>
        <v>43812.88</v>
      </c>
      <c r="BD29" s="313">
        <v>349000</v>
      </c>
      <c r="BE29" s="313">
        <v>235500</v>
      </c>
      <c r="BF29" s="316">
        <f t="shared" si="11"/>
        <v>694032.2</v>
      </c>
      <c r="BH29" s="316">
        <f t="shared" si="12"/>
        <v>1314386.3999999999</v>
      </c>
      <c r="BI29" s="323">
        <f t="shared" si="13"/>
        <v>45779</v>
      </c>
      <c r="BJ29" s="324">
        <f t="shared" si="14"/>
        <v>0.12</v>
      </c>
      <c r="BK29" s="325">
        <f t="shared" si="14"/>
        <v>15</v>
      </c>
      <c r="BL29" s="316">
        <f t="shared" si="15"/>
        <v>15774.845785274409</v>
      </c>
      <c r="BM29" s="323">
        <f>TIPOLOGÍAS!AZ29+(TIPOLOGÍAS!BK29*365.25)</f>
        <v>51226.75</v>
      </c>
      <c r="BN29" s="316">
        <f t="shared" si="16"/>
        <v>2839472.2413493935</v>
      </c>
      <c r="BP29" s="313">
        <v>21.5</v>
      </c>
      <c r="BQ29" s="316">
        <f t="shared" si="17"/>
        <v>1204</v>
      </c>
      <c r="BR29" s="323">
        <f t="shared" si="18"/>
        <v>45779</v>
      </c>
      <c r="BS29" s="316">
        <f t="shared" si="19"/>
        <v>3024.2941167526865</v>
      </c>
      <c r="BT29" s="323">
        <f>TIPOLOGÍAS!AZ29+(TIPOLOGÍAS!BK29*365.25)</f>
        <v>51226.75</v>
      </c>
      <c r="BU29" s="316">
        <f t="shared" si="20"/>
        <v>357519.90294562391</v>
      </c>
      <c r="BW29" s="313">
        <v>1940</v>
      </c>
      <c r="BX29" s="323">
        <f>TIPOLOGÍAS!AZ29+62</f>
        <v>45810</v>
      </c>
      <c r="BY29" s="326">
        <f t="shared" si="21"/>
        <v>6.8000000000000005E-2</v>
      </c>
      <c r="BZ29" s="316">
        <f t="shared" si="22"/>
        <v>5204.398227892214</v>
      </c>
      <c r="CA29" s="323">
        <f>TIPOLOGÍAS!AZ29+(TIPOLOGÍAS!BK29*365.25)</f>
        <v>51226.75</v>
      </c>
      <c r="CB29" s="327">
        <f t="shared" si="23"/>
        <v>11</v>
      </c>
      <c r="CC29" s="316">
        <f t="shared" si="24"/>
        <v>524184.41921785811</v>
      </c>
      <c r="CE29" s="328">
        <f t="shared" si="25"/>
        <v>4767281.944295017</v>
      </c>
      <c r="CF29" s="328">
        <f t="shared" si="26"/>
        <v>4243097.5250771586</v>
      </c>
      <c r="CG29" s="328">
        <f t="shared" ca="1" si="27"/>
        <v>24919.06438078935</v>
      </c>
      <c r="CH29" s="315">
        <f t="shared" ca="1" si="28"/>
        <v>3.7054387130274716E-2</v>
      </c>
      <c r="CJ29" s="326">
        <f t="shared" si="29"/>
        <v>6.8000000000000005E-2</v>
      </c>
      <c r="CK29" s="329">
        <f t="shared" ca="1" si="30"/>
        <v>5182.75</v>
      </c>
      <c r="CL29" s="330">
        <f t="shared" ca="1" si="31"/>
        <v>170.27515400410678</v>
      </c>
      <c r="CM29" s="330">
        <f t="shared" ca="1" si="32"/>
        <v>14.189596167008899</v>
      </c>
      <c r="CN29" s="330" t="str">
        <f t="shared" ca="1" si="33"/>
        <v>14 años y 2 meses</v>
      </c>
      <c r="CO29" s="316">
        <f t="shared" ca="1" si="34"/>
        <v>5571682.2912983708</v>
      </c>
    </row>
    <row r="30" spans="1:94">
      <c r="A30" s="287" t="s">
        <v>619</v>
      </c>
      <c r="B30" s="289"/>
      <c r="C30" s="288"/>
      <c r="D30" s="288"/>
      <c r="E30" s="288"/>
      <c r="F30" s="288"/>
      <c r="G30" s="98"/>
      <c r="I30" s="98"/>
      <c r="J30" s="98"/>
      <c r="K30" s="98"/>
      <c r="M30" s="98"/>
      <c r="N30" s="98"/>
      <c r="O30" s="98"/>
      <c r="P30" s="98"/>
      <c r="Q30" s="98"/>
      <c r="R30" s="98"/>
      <c r="S30" s="98"/>
      <c r="U30" s="98"/>
      <c r="V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P30" s="98"/>
      <c r="AQ30" s="98"/>
      <c r="AR30" s="98"/>
      <c r="AS30" s="98"/>
      <c r="AT30" s="98"/>
      <c r="AU30" s="98"/>
      <c r="AV30" s="98"/>
      <c r="AW30" s="98"/>
      <c r="AX30" s="98"/>
      <c r="AZ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E30" s="98"/>
      <c r="CF30" s="98"/>
      <c r="CG30" s="98"/>
      <c r="CH30" s="98"/>
      <c r="CJ30" s="98"/>
      <c r="CK30" s="98"/>
      <c r="CL30" s="98"/>
      <c r="CM30" s="98"/>
      <c r="CN30" s="98"/>
      <c r="CO30" s="98"/>
      <c r="CP30" s="331"/>
    </row>
    <row r="31" spans="1:94">
      <c r="A31" s="287" t="s">
        <v>620</v>
      </c>
      <c r="B31" s="289"/>
      <c r="C31" s="288"/>
      <c r="D31" s="288"/>
      <c r="E31" s="288"/>
      <c r="F31" s="288"/>
      <c r="G31" s="98"/>
      <c r="I31" s="98"/>
      <c r="J31" s="98"/>
      <c r="K31" s="98"/>
      <c r="M31" s="98"/>
      <c r="N31" s="98"/>
      <c r="O31" s="98"/>
      <c r="P31" s="98"/>
      <c r="Q31" s="98"/>
      <c r="R31" s="98"/>
      <c r="S31" s="98"/>
      <c r="U31" s="98"/>
      <c r="V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P31" s="98"/>
      <c r="AQ31" s="98"/>
      <c r="AR31" s="98"/>
      <c r="AS31" s="98"/>
      <c r="AT31" s="98"/>
      <c r="AU31" s="98"/>
      <c r="AV31" s="98"/>
      <c r="AW31" s="98"/>
      <c r="AX31" s="98"/>
      <c r="AZ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E31" s="98"/>
      <c r="CF31" s="98"/>
      <c r="CG31" s="98"/>
      <c r="CH31" s="98"/>
      <c r="CJ31" s="98"/>
      <c r="CK31" s="98"/>
      <c r="CL31" s="98"/>
      <c r="CM31" s="98"/>
      <c r="CN31" s="98"/>
      <c r="CO31" s="98"/>
      <c r="CP31" s="331"/>
    </row>
    <row r="32" spans="1:94">
      <c r="A32" s="287" t="s">
        <v>621</v>
      </c>
      <c r="B32" s="289"/>
      <c r="C32" s="289"/>
      <c r="D32" s="289"/>
      <c r="E32" s="289"/>
      <c r="F32" s="289"/>
      <c r="G32" s="290"/>
      <c r="I32" s="290"/>
      <c r="J32" s="290"/>
      <c r="K32" s="290"/>
      <c r="M32" s="290"/>
      <c r="N32" s="290"/>
      <c r="O32" s="290"/>
      <c r="P32" s="290"/>
      <c r="Q32" s="290"/>
      <c r="R32" s="290"/>
      <c r="S32" s="290"/>
      <c r="U32" s="290"/>
      <c r="V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0"/>
      <c r="AH32" s="290"/>
      <c r="AI32" s="290"/>
      <c r="AJ32" s="290"/>
      <c r="AK32" s="290"/>
      <c r="AL32" s="290"/>
      <c r="AM32" s="290"/>
      <c r="AN32" s="290"/>
      <c r="AP32" s="290"/>
      <c r="AQ32" s="290"/>
      <c r="AR32" s="290"/>
      <c r="AS32" s="290"/>
      <c r="AT32" s="290"/>
      <c r="AU32" s="290"/>
      <c r="AV32" s="290"/>
      <c r="AW32" s="290"/>
      <c r="AX32" s="290"/>
      <c r="AZ32" s="290"/>
      <c r="BB32" s="292"/>
      <c r="BC32" s="292"/>
      <c r="BD32" s="292"/>
      <c r="BE32" s="292"/>
      <c r="BF32" s="292"/>
      <c r="BG32" s="4"/>
      <c r="BH32" s="292"/>
      <c r="BI32" s="292"/>
      <c r="BJ32" s="292"/>
      <c r="BK32" s="292"/>
      <c r="BL32" s="292"/>
      <c r="BM32" s="292"/>
      <c r="BN32" s="292"/>
      <c r="BP32" s="292"/>
      <c r="BQ32" s="292"/>
      <c r="BR32" s="292"/>
      <c r="BS32" s="292"/>
      <c r="BT32" s="292"/>
      <c r="BU32" s="292"/>
      <c r="BV32" s="4"/>
      <c r="BW32" s="292"/>
      <c r="BX32" s="292"/>
      <c r="BY32" s="292"/>
      <c r="BZ32" s="292"/>
      <c r="CA32" s="292"/>
      <c r="CB32" s="292"/>
      <c r="CC32" s="292"/>
      <c r="CE32" s="292"/>
      <c r="CF32" s="292"/>
      <c r="CG32" s="292"/>
      <c r="CH32" s="292"/>
      <c r="CJ32" s="292"/>
      <c r="CK32" s="292"/>
      <c r="CL32" s="292"/>
      <c r="CM32" s="292"/>
      <c r="CN32" s="292"/>
      <c r="CO32" s="292"/>
      <c r="CP32" s="332"/>
    </row>
    <row r="33" spans="1:94">
      <c r="A33" s="287" t="s">
        <v>642</v>
      </c>
      <c r="B33" s="289"/>
      <c r="C33" s="289"/>
      <c r="D33" s="289"/>
      <c r="E33" s="289"/>
      <c r="F33" s="289"/>
      <c r="G33" s="290"/>
      <c r="I33" s="290"/>
      <c r="J33" s="290"/>
      <c r="K33" s="290"/>
      <c r="M33" s="290"/>
      <c r="N33" s="290"/>
      <c r="O33" s="290"/>
      <c r="P33" s="290"/>
      <c r="Q33" s="290"/>
      <c r="R33" s="290"/>
      <c r="S33" s="290"/>
      <c r="U33" s="292"/>
      <c r="V33" s="292"/>
      <c r="X33" s="292"/>
      <c r="Y33" s="292"/>
      <c r="Z33" s="292"/>
      <c r="AA33" s="292"/>
      <c r="AB33" s="292"/>
      <c r="AC33" s="292"/>
      <c r="AD33" s="292"/>
      <c r="AE33" s="292"/>
      <c r="AF33" s="292"/>
      <c r="AG33" s="292"/>
      <c r="AH33" s="292"/>
      <c r="AI33" s="292"/>
      <c r="AJ33" s="292"/>
      <c r="AK33" s="292"/>
      <c r="AL33" s="292"/>
      <c r="AM33" s="292"/>
      <c r="AN33" s="292"/>
      <c r="AP33" s="292"/>
      <c r="AQ33" s="292"/>
      <c r="AR33" s="292"/>
      <c r="AS33" s="292"/>
      <c r="AT33" s="292"/>
      <c r="AU33" s="292"/>
      <c r="AV33" s="292"/>
      <c r="AW33" s="292"/>
      <c r="AX33" s="292"/>
      <c r="AZ33" s="292"/>
      <c r="BB33" s="292"/>
      <c r="BC33" s="292"/>
      <c r="BD33" s="292"/>
      <c r="BE33" s="292"/>
      <c r="BF33" s="292"/>
      <c r="BG33" s="4"/>
      <c r="BH33" s="292"/>
      <c r="BI33" s="292"/>
      <c r="BJ33" s="292"/>
      <c r="BK33" s="292"/>
      <c r="BL33" s="292"/>
      <c r="BM33" s="292"/>
      <c r="BN33" s="292"/>
      <c r="BP33" s="292"/>
      <c r="BQ33" s="292"/>
      <c r="BR33" s="292"/>
      <c r="BS33" s="292"/>
      <c r="BT33" s="292"/>
      <c r="BU33" s="292"/>
      <c r="BV33" s="4"/>
      <c r="BW33" s="292"/>
      <c r="BX33" s="292"/>
      <c r="BY33" s="292"/>
      <c r="BZ33" s="292"/>
      <c r="CA33" s="292"/>
      <c r="CB33" s="292"/>
      <c r="CC33" s="292"/>
      <c r="CE33" s="292"/>
      <c r="CF33" s="292"/>
      <c r="CG33" s="292"/>
      <c r="CH33" s="292"/>
      <c r="CJ33" s="292"/>
      <c r="CK33" s="292"/>
      <c r="CL33" s="292"/>
      <c r="CM33" s="292"/>
      <c r="CN33" s="292"/>
      <c r="CO33" s="292"/>
      <c r="CP33" s="332"/>
    </row>
    <row r="34" spans="1:94">
      <c r="A34" s="287" t="s">
        <v>703</v>
      </c>
      <c r="B34" s="289"/>
      <c r="C34" s="289"/>
      <c r="D34" s="289"/>
      <c r="E34" s="289"/>
      <c r="F34" s="289"/>
      <c r="G34" s="290"/>
      <c r="I34" s="290"/>
      <c r="J34" s="290"/>
      <c r="K34" s="290"/>
      <c r="M34" s="290"/>
      <c r="N34" s="290"/>
      <c r="O34" s="290"/>
      <c r="P34" s="290"/>
      <c r="Q34" s="290"/>
      <c r="R34" s="290"/>
      <c r="S34" s="290"/>
      <c r="U34" s="290"/>
      <c r="V34" s="290"/>
      <c r="X34" s="290"/>
      <c r="Y34" s="290"/>
      <c r="Z34" s="290"/>
      <c r="AA34" s="290"/>
      <c r="AB34" s="290"/>
      <c r="AC34" s="290"/>
      <c r="AD34" s="290"/>
      <c r="AE34" s="290"/>
      <c r="AF34" s="290"/>
      <c r="AG34" s="290"/>
      <c r="AH34" s="290"/>
      <c r="AI34" s="290"/>
      <c r="AJ34" s="290"/>
      <c r="AK34" s="290"/>
      <c r="AL34" s="290"/>
      <c r="AM34" s="290"/>
      <c r="AN34" s="290"/>
      <c r="AP34" s="290"/>
      <c r="AQ34" s="290"/>
      <c r="AR34" s="290"/>
      <c r="AS34" s="290"/>
      <c r="AT34" s="290"/>
      <c r="AU34" s="290"/>
      <c r="AV34" s="290"/>
      <c r="AW34" s="290"/>
      <c r="AX34" s="290"/>
      <c r="AZ34" s="290"/>
      <c r="BB34" s="290"/>
      <c r="BC34" s="290"/>
      <c r="BD34" s="290"/>
      <c r="BE34" s="290"/>
      <c r="BF34" s="290"/>
      <c r="BG34" s="4"/>
      <c r="BH34" s="290"/>
      <c r="BI34" s="290"/>
      <c r="BJ34" s="290"/>
      <c r="BK34" s="290"/>
      <c r="BL34" s="290"/>
      <c r="BM34" s="290"/>
      <c r="BN34" s="290"/>
      <c r="BP34" s="290"/>
      <c r="BQ34" s="290"/>
      <c r="BR34" s="290"/>
      <c r="BS34" s="290"/>
      <c r="BT34" s="290"/>
      <c r="BU34" s="290"/>
      <c r="BV34" s="4"/>
      <c r="BW34" s="290"/>
      <c r="BX34" s="290"/>
      <c r="BY34" s="290"/>
      <c r="BZ34" s="290"/>
      <c r="CA34" s="290"/>
      <c r="CB34" s="290"/>
      <c r="CC34" s="290"/>
      <c r="CE34" s="290"/>
      <c r="CF34" s="290"/>
      <c r="CG34" s="290"/>
      <c r="CH34" s="290"/>
      <c r="CJ34" s="290"/>
      <c r="CK34" s="290"/>
      <c r="CL34" s="290"/>
      <c r="CM34" s="290"/>
      <c r="CN34" s="290"/>
      <c r="CO34" s="290"/>
      <c r="CP34" s="332"/>
    </row>
    <row r="35" spans="1:94">
      <c r="A35" s="287" t="s">
        <v>623</v>
      </c>
      <c r="B35" s="289"/>
      <c r="C35" s="288"/>
      <c r="D35" s="289"/>
      <c r="E35" s="289"/>
      <c r="F35" s="289"/>
      <c r="G35" s="290"/>
      <c r="I35" s="290"/>
      <c r="J35" s="98"/>
      <c r="K35" s="98"/>
      <c r="M35" s="290"/>
      <c r="N35" s="98"/>
      <c r="O35" s="98"/>
      <c r="P35" s="98"/>
      <c r="Q35" s="98"/>
      <c r="R35" s="290"/>
      <c r="S35" s="290"/>
      <c r="U35" s="98"/>
      <c r="V35" s="98"/>
      <c r="X35" s="290"/>
      <c r="Y35" s="290"/>
      <c r="Z35" s="290"/>
      <c r="AA35" s="290"/>
      <c r="AB35" s="290"/>
      <c r="AC35" s="290"/>
      <c r="AD35" s="290"/>
      <c r="AE35" s="290"/>
      <c r="AF35" s="290"/>
      <c r="AG35" s="290"/>
      <c r="AH35" s="290"/>
      <c r="AI35" s="290"/>
      <c r="AJ35" s="290"/>
      <c r="AK35" s="98"/>
      <c r="AL35" s="98"/>
      <c r="AM35" s="98"/>
      <c r="AN35" s="98"/>
      <c r="AP35" s="98"/>
      <c r="AQ35" s="290"/>
      <c r="AR35" s="98"/>
      <c r="AS35" s="290"/>
      <c r="AT35" s="98"/>
      <c r="AU35" s="290"/>
      <c r="AV35" s="290"/>
      <c r="AW35" s="290"/>
      <c r="AX35" s="290"/>
      <c r="AZ35" s="98"/>
      <c r="BB35" s="292"/>
      <c r="BC35" s="292"/>
      <c r="BD35" s="292"/>
      <c r="BE35" s="292"/>
      <c r="BF35" s="292"/>
      <c r="BG35" s="4"/>
      <c r="BH35" s="292"/>
      <c r="BI35" s="292"/>
      <c r="BJ35" s="292"/>
      <c r="BK35" s="292"/>
      <c r="BL35" s="292"/>
      <c r="BM35" s="292"/>
      <c r="BN35" s="292"/>
      <c r="BP35" s="292"/>
      <c r="BQ35" s="292"/>
      <c r="BR35" s="292"/>
      <c r="BS35" s="292"/>
      <c r="BT35" s="292"/>
      <c r="BU35" s="292"/>
      <c r="BV35" s="4"/>
      <c r="BW35" s="292"/>
      <c r="BX35" s="292"/>
      <c r="BY35" s="292"/>
      <c r="BZ35" s="292"/>
      <c r="CA35" s="292"/>
      <c r="CB35" s="292"/>
      <c r="CC35" s="292"/>
      <c r="CE35" s="292"/>
      <c r="CF35" s="292"/>
      <c r="CG35" s="292"/>
      <c r="CH35" s="292"/>
      <c r="CJ35" s="292"/>
      <c r="CK35" s="292"/>
      <c r="CL35" s="292"/>
      <c r="CM35" s="292"/>
      <c r="CN35" s="292"/>
      <c r="CO35" s="292"/>
      <c r="CP35" s="332"/>
    </row>
    <row r="38" spans="1:94">
      <c r="A38" s="307" t="s">
        <v>702</v>
      </c>
      <c r="AT38" s="1" t="s">
        <v>707</v>
      </c>
    </row>
    <row r="39" spans="1:94">
      <c r="AL39" s="1" t="s">
        <v>706</v>
      </c>
    </row>
    <row r="40" spans="1:94">
      <c r="A40" s="1" t="s">
        <v>705</v>
      </c>
    </row>
  </sheetData>
  <autoFilter ref="B2:CO29" xr:uid="{234E4B5A-33C2-459E-9EA0-EB6B08B07A1B}">
    <filterColumn colId="5">
      <filters>
        <filter val="Colonia"/>
        <filter val="Lívita 20"/>
        <filter val="Moca Azul"/>
      </filters>
    </filterColumn>
    <filterColumn colId="12">
      <filters>
        <filter val="$2,330,646"/>
        <filter val="$2,400,647"/>
        <filter val="$2,540,649"/>
        <filter val="$2,890,654"/>
        <filter val="$2,960,655"/>
      </filters>
    </filterColumn>
    <filterColumn colId="28" showButton="0"/>
    <filterColumn colId="30" showButton="0"/>
    <filterColumn colId="37" showButton="0"/>
    <filterColumn colId="47" showButton="0"/>
  </autoFilter>
  <mergeCells count="14">
    <mergeCell ref="I1:K1"/>
    <mergeCell ref="M1:S1"/>
    <mergeCell ref="CE1:CF1"/>
    <mergeCell ref="CP1:CP2"/>
    <mergeCell ref="AW2:AX2"/>
    <mergeCell ref="X1:AN1"/>
    <mergeCell ref="AP1:AX1"/>
    <mergeCell ref="AD2:AE2"/>
    <mergeCell ref="AF2:AG2"/>
    <mergeCell ref="AM2:AN2"/>
    <mergeCell ref="BB1:BE1"/>
    <mergeCell ref="BL1:BN1"/>
    <mergeCell ref="BP1:BU1"/>
    <mergeCell ref="CK1:CO1"/>
  </mergeCells>
  <conditionalFormatting sqref="C3:C29">
    <cfRule type="containsText" dxfId="60" priority="3" operator="containsText" text="No">
      <formula>NOT(ISERROR(SEARCH("No",C3)))</formula>
    </cfRule>
  </conditionalFormatting>
  <conditionalFormatting sqref="O3:O29">
    <cfRule type="containsText" dxfId="59" priority="12" operator="containsText" text="Si">
      <formula>NOT(ISERROR(SEARCH("Si",O3)))</formula>
    </cfRule>
  </conditionalFormatting>
  <conditionalFormatting sqref="P3:P29">
    <cfRule type="expression" dxfId="58" priority="9">
      <formula>O3="No"</formula>
    </cfRule>
  </conditionalFormatting>
  <conditionalFormatting sqref="Q3:Q29">
    <cfRule type="expression" dxfId="57" priority="10">
      <formula>O3="No"</formula>
    </cfRule>
  </conditionalFormatting>
  <conditionalFormatting sqref="U3:U29">
    <cfRule type="containsText" dxfId="56" priority="5" operator="containsText" text="sI">
      <formula>NOT(ISERROR(SEARCH("sI",U3)))</formula>
    </cfRule>
  </conditionalFormatting>
  <conditionalFormatting sqref="U3:V29">
    <cfRule type="containsText" dxfId="55" priority="11" operator="containsText" text="Si">
      <formula>NOT(ISERROR(SEARCH("Si",U3)))</formula>
    </cfRule>
  </conditionalFormatting>
  <conditionalFormatting sqref="V3:V29">
    <cfRule type="containsText" dxfId="54" priority="4" operator="containsText" text="Si">
      <formula>NOT(ISERROR(SEARCH("Si",V3)))</formula>
    </cfRule>
  </conditionalFormatting>
  <conditionalFormatting sqref="AE3:AE29">
    <cfRule type="expression" dxfId="53" priority="8">
      <formula>AD3="No"</formula>
    </cfRule>
  </conditionalFormatting>
  <conditionalFormatting sqref="AG3:AG29">
    <cfRule type="expression" dxfId="52" priority="7">
      <formula>AF3="No"</formula>
    </cfRule>
  </conditionalFormatting>
  <conditionalFormatting sqref="AL3:AL4">
    <cfRule type="expression" dxfId="51" priority="2">
      <formula>AK3="No"</formula>
    </cfRule>
  </conditionalFormatting>
  <conditionalFormatting sqref="AL18:AL19 AL24 AL26:AL27">
    <cfRule type="expression" dxfId="50" priority="1">
      <formula>AK18="No"</formula>
    </cfRule>
  </conditionalFormatting>
  <conditionalFormatting sqref="AN3:AN29">
    <cfRule type="expression" dxfId="49" priority="6">
      <formula>AM3="No"</formula>
    </cfRule>
  </conditionalFormatting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7862DA-9C8E-43A4-82A4-5CE7685B1DA6}">
          <x14:formula1>
            <xm:f>'CAT Propiedades'!#REF!</xm:f>
          </x14:formula1>
          <xm:sqref>AK3:AK4 AK18:AK19 AK24 AK26:AK27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BCAE-EBFF-440A-805B-AED98633CC68}">
  <sheetPr>
    <tabColor rgb="FFFFFF00"/>
  </sheetPr>
  <dimension ref="A1:G73"/>
  <sheetViews>
    <sheetView topLeftCell="B1" workbookViewId="0">
      <selection activeCell="E5" sqref="E5"/>
    </sheetView>
  </sheetViews>
  <sheetFormatPr baseColWidth="10" defaultColWidth="11.5703125" defaultRowHeight="15"/>
  <cols>
    <col min="1" max="1" width="2" style="1" bestFit="1" customWidth="1"/>
    <col min="2" max="2" width="57.7109375" style="1" bestFit="1" customWidth="1"/>
    <col min="3" max="3" width="5.5703125" style="1" customWidth="1"/>
    <col min="4" max="4" width="31.5703125" style="1" bestFit="1" customWidth="1"/>
    <col min="5" max="16384" width="11.5703125" style="1"/>
  </cols>
  <sheetData>
    <row r="1" spans="2:4">
      <c r="B1" s="143" t="s">
        <v>533</v>
      </c>
    </row>
    <row r="2" spans="2:4">
      <c r="B2" s="1" t="s">
        <v>532</v>
      </c>
    </row>
    <row r="5" spans="2:4">
      <c r="B5" s="143" t="s">
        <v>531</v>
      </c>
    </row>
    <row r="6" spans="2:4">
      <c r="B6" s="1" t="s">
        <v>530</v>
      </c>
    </row>
    <row r="11" spans="2:4">
      <c r="B11" s="143" t="s">
        <v>529</v>
      </c>
    </row>
    <row r="12" spans="2:4">
      <c r="B12" s="1" t="s">
        <v>528</v>
      </c>
      <c r="D12" s="1" t="s">
        <v>527</v>
      </c>
    </row>
    <row r="13" spans="2:4">
      <c r="B13" s="1" t="s">
        <v>526</v>
      </c>
      <c r="D13" s="1" t="s">
        <v>525</v>
      </c>
    </row>
    <row r="14" spans="2:4">
      <c r="B14" s="1" t="s">
        <v>524</v>
      </c>
      <c r="D14" s="1" t="s">
        <v>523</v>
      </c>
    </row>
    <row r="15" spans="2:4">
      <c r="B15" s="1" t="s">
        <v>522</v>
      </c>
    </row>
    <row r="16" spans="2:4">
      <c r="B16" s="1" t="s">
        <v>521</v>
      </c>
    </row>
    <row r="17" spans="2:2">
      <c r="B17" s="1" t="s">
        <v>520</v>
      </c>
    </row>
    <row r="18" spans="2:2">
      <c r="B18" s="1" t="s">
        <v>519</v>
      </c>
    </row>
    <row r="19" spans="2:2">
      <c r="B19" s="1" t="s">
        <v>518</v>
      </c>
    </row>
    <row r="20" spans="2:2">
      <c r="B20" s="1" t="s">
        <v>517</v>
      </c>
    </row>
    <row r="23" spans="2:2">
      <c r="B23" s="143" t="s">
        <v>516</v>
      </c>
    </row>
    <row r="24" spans="2:2">
      <c r="B24" s="1" t="s">
        <v>515</v>
      </c>
    </row>
    <row r="27" spans="2:2">
      <c r="B27" s="143" t="s">
        <v>514</v>
      </c>
    </row>
    <row r="31" spans="2:2">
      <c r="B31" s="143" t="s">
        <v>513</v>
      </c>
    </row>
    <row r="34" spans="2:2">
      <c r="B34" s="143" t="s">
        <v>512</v>
      </c>
    </row>
    <row r="36" spans="2:2">
      <c r="B36" s="1" t="s">
        <v>511</v>
      </c>
    </row>
    <row r="37" spans="2:2">
      <c r="B37" s="1" t="s">
        <v>510</v>
      </c>
    </row>
    <row r="38" spans="2:2">
      <c r="B38" s="1" t="s">
        <v>509</v>
      </c>
    </row>
    <row r="39" spans="2:2">
      <c r="B39" s="1" t="s">
        <v>508</v>
      </c>
    </row>
    <row r="42" spans="2:2">
      <c r="B42" s="143" t="s">
        <v>507</v>
      </c>
    </row>
    <row r="45" spans="2:2">
      <c r="B45" s="143" t="s">
        <v>506</v>
      </c>
    </row>
    <row r="46" spans="2:2">
      <c r="B46" s="1" t="s">
        <v>505</v>
      </c>
    </row>
    <row r="49" spans="1:7">
      <c r="A49" s="144"/>
      <c r="B49" s="1" t="s">
        <v>504</v>
      </c>
      <c r="D49" s="144"/>
      <c r="E49" s="144"/>
      <c r="F49" s="144"/>
      <c r="G49" s="144"/>
    </row>
    <row r="50" spans="1:7">
      <c r="A50" s="144"/>
      <c r="B50" s="1" t="s">
        <v>503</v>
      </c>
      <c r="C50" s="144"/>
      <c r="D50" s="144"/>
      <c r="E50" s="144"/>
      <c r="F50" s="144"/>
      <c r="G50" s="144"/>
    </row>
    <row r="51" spans="1:7">
      <c r="A51" s="144">
        <v>1</v>
      </c>
      <c r="B51" s="1" t="s">
        <v>502</v>
      </c>
      <c r="C51" s="144"/>
      <c r="D51" s="144"/>
      <c r="E51" s="144"/>
      <c r="F51" s="144"/>
      <c r="G51" s="144"/>
    </row>
    <row r="52" spans="1:7">
      <c r="A52" s="144">
        <v>1</v>
      </c>
      <c r="B52" s="145" t="s">
        <v>501</v>
      </c>
      <c r="C52" s="144"/>
      <c r="D52" s="144"/>
      <c r="E52" s="144"/>
      <c r="F52" s="144"/>
      <c r="G52" s="144"/>
    </row>
    <row r="53" spans="1:7">
      <c r="A53" s="144"/>
      <c r="B53" s="144" t="s">
        <v>500</v>
      </c>
      <c r="C53" s="144"/>
      <c r="D53" s="144"/>
      <c r="E53" s="144"/>
      <c r="F53" s="144"/>
      <c r="G53" s="144"/>
    </row>
    <row r="54" spans="1:7">
      <c r="A54" s="144"/>
      <c r="B54" s="144" t="s">
        <v>499</v>
      </c>
      <c r="C54" s="144"/>
      <c r="D54" s="144"/>
      <c r="E54" s="144"/>
      <c r="F54" s="144"/>
      <c r="G54" s="144"/>
    </row>
    <row r="55" spans="1:7">
      <c r="A55" s="144">
        <v>1</v>
      </c>
      <c r="B55" s="144" t="s">
        <v>498</v>
      </c>
      <c r="C55" s="144"/>
      <c r="D55" s="144"/>
      <c r="E55" s="144"/>
      <c r="F55" s="144"/>
      <c r="G55" s="144"/>
    </row>
    <row r="56" spans="1:7">
      <c r="B56" s="145" t="s">
        <v>497</v>
      </c>
      <c r="C56" s="144"/>
    </row>
    <row r="57" spans="1:7">
      <c r="B57" s="1" t="s">
        <v>496</v>
      </c>
    </row>
    <row r="58" spans="1:7">
      <c r="B58" s="1" t="s">
        <v>495</v>
      </c>
    </row>
    <row r="60" spans="1:7">
      <c r="B60" s="143" t="s">
        <v>494</v>
      </c>
    </row>
    <row r="61" spans="1:7">
      <c r="B61" s="1" t="s">
        <v>493</v>
      </c>
    </row>
    <row r="62" spans="1:7">
      <c r="B62" s="1" t="s">
        <v>492</v>
      </c>
    </row>
    <row r="63" spans="1:7">
      <c r="B63" s="1" t="s">
        <v>491</v>
      </c>
    </row>
    <row r="64" spans="1:7">
      <c r="B64" s="1" t="s">
        <v>490</v>
      </c>
    </row>
    <row r="69" spans="2:2">
      <c r="B69" s="143" t="s">
        <v>489</v>
      </c>
    </row>
    <row r="70" spans="2:2">
      <c r="B70" s="1" t="s">
        <v>488</v>
      </c>
    </row>
    <row r="71" spans="2:2">
      <c r="B71" s="1" t="s">
        <v>487</v>
      </c>
    </row>
    <row r="72" spans="2:2">
      <c r="B72" s="1" t="s">
        <v>486</v>
      </c>
    </row>
    <row r="73" spans="2:2">
      <c r="B73" s="1" t="s">
        <v>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235E-2801-4B75-A824-2BA8304F1AE7}">
  <sheetPr>
    <tabColor rgb="FFFFFF00"/>
  </sheetPr>
  <dimension ref="B1:W29"/>
  <sheetViews>
    <sheetView zoomScale="90" zoomScaleNormal="90" workbookViewId="0">
      <selection activeCell="M13" sqref="M13"/>
    </sheetView>
  </sheetViews>
  <sheetFormatPr baseColWidth="10" defaultColWidth="11.5703125" defaultRowHeight="12.75"/>
  <cols>
    <col min="1" max="1" width="2.42578125" style="75" customWidth="1"/>
    <col min="2" max="2" width="11.140625" style="75" customWidth="1"/>
    <col min="3" max="3" width="9" style="75" customWidth="1"/>
    <col min="4" max="4" width="10.42578125" style="75" customWidth="1"/>
    <col min="5" max="5" width="8" style="75" bestFit="1" customWidth="1"/>
    <col min="6" max="6" width="5.7109375" style="75" bestFit="1" customWidth="1"/>
    <col min="7" max="7" width="17" style="75" bestFit="1" customWidth="1"/>
    <col min="8" max="8" width="13.140625" style="75" bestFit="1" customWidth="1"/>
    <col min="9" max="9" width="10.5703125" style="75" bestFit="1" customWidth="1"/>
    <col min="10" max="10" width="8.7109375" style="75" bestFit="1" customWidth="1"/>
    <col min="11" max="11" width="9.85546875" style="75" bestFit="1" customWidth="1"/>
    <col min="12" max="12" width="10.42578125" style="75" bestFit="1" customWidth="1"/>
    <col min="13" max="13" width="8.7109375" style="75" customWidth="1"/>
    <col min="14" max="14" width="5.140625" style="75" bestFit="1" customWidth="1"/>
    <col min="15" max="15" width="7.28515625" style="75" bestFit="1" customWidth="1"/>
    <col min="16" max="16" width="12.7109375" style="75" bestFit="1" customWidth="1"/>
    <col min="17" max="17" width="17.5703125" style="75" bestFit="1" customWidth="1"/>
    <col min="18" max="18" width="9.140625" style="75" bestFit="1" customWidth="1"/>
    <col min="19" max="19" width="8.7109375" style="75" bestFit="1" customWidth="1"/>
    <col min="20" max="20" width="12.85546875" style="75" customWidth="1"/>
    <col min="21" max="21" width="10.7109375" style="75" bestFit="1" customWidth="1"/>
    <col min="22" max="22" width="11.28515625" style="75" bestFit="1" customWidth="1"/>
    <col min="23" max="23" width="14.140625" style="75" bestFit="1" customWidth="1"/>
    <col min="24" max="16384" width="11.5703125" style="75"/>
  </cols>
  <sheetData>
    <row r="1" spans="2:23">
      <c r="B1" s="89">
        <v>1</v>
      </c>
      <c r="C1" s="89">
        <v>2</v>
      </c>
      <c r="D1" s="89">
        <v>3</v>
      </c>
      <c r="E1" s="89">
        <v>4</v>
      </c>
      <c r="F1" s="89">
        <v>5</v>
      </c>
      <c r="G1" s="89">
        <v>6</v>
      </c>
      <c r="H1" s="89">
        <v>7</v>
      </c>
      <c r="I1" s="89">
        <v>8</v>
      </c>
      <c r="J1" s="89">
        <v>9</v>
      </c>
      <c r="K1" s="89">
        <v>10</v>
      </c>
      <c r="L1" s="89">
        <v>11</v>
      </c>
      <c r="M1" s="89">
        <v>12</v>
      </c>
      <c r="N1" s="89">
        <v>13</v>
      </c>
      <c r="O1" s="89">
        <v>14</v>
      </c>
      <c r="P1" s="89">
        <v>15</v>
      </c>
      <c r="Q1" s="89">
        <v>16</v>
      </c>
      <c r="R1" s="89">
        <v>17</v>
      </c>
      <c r="S1" s="89">
        <v>18</v>
      </c>
      <c r="T1" s="89">
        <v>19</v>
      </c>
      <c r="U1" s="89">
        <v>20</v>
      </c>
      <c r="V1" s="89">
        <v>21</v>
      </c>
      <c r="W1" s="89">
        <v>22</v>
      </c>
    </row>
    <row r="2" spans="2:23">
      <c r="B2" s="88" t="s">
        <v>136</v>
      </c>
      <c r="C2" s="87" t="s">
        <v>366</v>
      </c>
      <c r="D2" s="86" t="s">
        <v>341</v>
      </c>
      <c r="E2" s="86" t="s">
        <v>96</v>
      </c>
      <c r="F2" s="86" t="s">
        <v>97</v>
      </c>
      <c r="G2" s="86" t="s">
        <v>71</v>
      </c>
      <c r="H2" s="86" t="s">
        <v>69</v>
      </c>
      <c r="I2" s="86" t="s">
        <v>365</v>
      </c>
      <c r="J2" s="86" t="s">
        <v>364</v>
      </c>
      <c r="K2" s="86" t="s">
        <v>363</v>
      </c>
      <c r="L2" s="86" t="s">
        <v>362</v>
      </c>
      <c r="M2" s="86" t="s">
        <v>361</v>
      </c>
      <c r="N2" s="86" t="s">
        <v>2</v>
      </c>
      <c r="O2" s="86" t="s">
        <v>450</v>
      </c>
      <c r="P2" s="86" t="s">
        <v>360</v>
      </c>
      <c r="Q2" s="86" t="s">
        <v>359</v>
      </c>
      <c r="R2" s="86" t="s">
        <v>358</v>
      </c>
      <c r="S2" s="86" t="s">
        <v>357</v>
      </c>
      <c r="T2" s="86" t="s">
        <v>356</v>
      </c>
      <c r="U2" s="86" t="s">
        <v>355</v>
      </c>
      <c r="V2" s="86" t="s">
        <v>354</v>
      </c>
      <c r="W2" s="85" t="s">
        <v>353</v>
      </c>
    </row>
    <row r="4" spans="2:23" s="84" customFormat="1">
      <c r="B4" s="81"/>
      <c r="C4" s="81"/>
      <c r="D4" s="79"/>
      <c r="E4" s="79"/>
      <c r="F4" s="79"/>
      <c r="G4" s="79"/>
      <c r="H4" s="79"/>
      <c r="I4" s="79"/>
      <c r="J4" s="79"/>
      <c r="K4" s="79"/>
      <c r="L4" s="79"/>
      <c r="M4" s="79"/>
      <c r="N4" s="76"/>
      <c r="O4" s="76"/>
      <c r="P4" s="80" t="s">
        <v>343</v>
      </c>
      <c r="Q4" s="79"/>
      <c r="R4" s="76" t="s">
        <v>350</v>
      </c>
      <c r="S4" s="76"/>
      <c r="T4" s="76"/>
      <c r="U4" s="76" t="s">
        <v>352</v>
      </c>
      <c r="V4" s="76" t="s">
        <v>352</v>
      </c>
      <c r="W4" s="76"/>
    </row>
    <row r="5" spans="2:23">
      <c r="B5" s="83" t="s">
        <v>351</v>
      </c>
      <c r="C5" s="83" t="s">
        <v>351</v>
      </c>
      <c r="D5" s="83"/>
      <c r="E5" s="83" t="s">
        <v>351</v>
      </c>
      <c r="F5" s="83" t="s">
        <v>351</v>
      </c>
      <c r="G5" s="83" t="s">
        <v>351</v>
      </c>
      <c r="H5" s="83" t="s">
        <v>351</v>
      </c>
      <c r="I5" s="83" t="s">
        <v>351</v>
      </c>
      <c r="J5" s="83" t="s">
        <v>351</v>
      </c>
      <c r="K5" s="83" t="s">
        <v>351</v>
      </c>
      <c r="L5" s="83" t="s">
        <v>351</v>
      </c>
      <c r="M5" s="83" t="s">
        <v>351</v>
      </c>
      <c r="N5" s="83" t="s">
        <v>351</v>
      </c>
      <c r="O5" s="83"/>
      <c r="P5" s="83" t="s">
        <v>351</v>
      </c>
      <c r="Q5" s="75" t="s">
        <v>350</v>
      </c>
    </row>
    <row r="7" spans="2:23">
      <c r="B7" s="82" t="s">
        <v>349</v>
      </c>
      <c r="C7" s="429" t="s">
        <v>348</v>
      </c>
      <c r="D7" s="429"/>
      <c r="E7" s="430"/>
      <c r="I7" s="93" t="s">
        <v>347</v>
      </c>
      <c r="J7" s="93" t="s">
        <v>341</v>
      </c>
      <c r="K7" s="93" t="s">
        <v>346</v>
      </c>
      <c r="L7" s="90"/>
      <c r="M7" s="93" t="s">
        <v>345</v>
      </c>
    </row>
    <row r="8" spans="2:23">
      <c r="B8" s="78" t="s">
        <v>344</v>
      </c>
      <c r="C8" s="81"/>
      <c r="D8" s="80" t="s">
        <v>343</v>
      </c>
      <c r="E8" s="76"/>
      <c r="H8" s="75">
        <v>1</v>
      </c>
      <c r="I8" s="105"/>
      <c r="J8" s="105"/>
      <c r="K8" s="105"/>
      <c r="M8" s="106" t="s">
        <v>136</v>
      </c>
    </row>
    <row r="9" spans="2:23">
      <c r="B9" s="78" t="s">
        <v>342</v>
      </c>
      <c r="C9" s="77"/>
      <c r="D9" s="79"/>
      <c r="E9" s="76"/>
      <c r="H9" s="75">
        <v>2</v>
      </c>
      <c r="I9" s="105"/>
      <c r="J9" s="77"/>
      <c r="K9" s="77"/>
      <c r="M9" s="128"/>
    </row>
    <row r="10" spans="2:23">
      <c r="B10" s="78" t="s">
        <v>341</v>
      </c>
      <c r="C10" s="77"/>
      <c r="D10" s="77"/>
      <c r="E10" s="76"/>
      <c r="H10" s="75">
        <v>3</v>
      </c>
      <c r="I10" s="105"/>
      <c r="J10" s="105"/>
      <c r="K10" s="105"/>
      <c r="M10" s="106" t="s">
        <v>341</v>
      </c>
    </row>
    <row r="11" spans="2:23">
      <c r="H11" s="75">
        <v>4</v>
      </c>
      <c r="I11" s="105"/>
      <c r="J11" s="77"/>
      <c r="K11" s="77"/>
      <c r="M11" s="127"/>
    </row>
    <row r="12" spans="2:23">
      <c r="B12" s="75" t="s">
        <v>340</v>
      </c>
      <c r="H12" s="75">
        <v>5</v>
      </c>
      <c r="I12" s="105"/>
      <c r="J12" s="77"/>
      <c r="K12" s="77"/>
      <c r="M12" s="127"/>
    </row>
    <row r="13" spans="2:23">
      <c r="B13" s="75" t="s">
        <v>339</v>
      </c>
      <c r="H13" s="75">
        <v>6</v>
      </c>
      <c r="I13" s="105"/>
      <c r="J13" s="77"/>
      <c r="K13" s="77"/>
      <c r="M13" s="127"/>
    </row>
    <row r="14" spans="2:23">
      <c r="B14" s="75" t="s">
        <v>338</v>
      </c>
      <c r="H14" s="75">
        <v>7</v>
      </c>
      <c r="I14" s="105"/>
      <c r="J14" s="105"/>
      <c r="K14" s="105"/>
      <c r="M14" s="127"/>
    </row>
    <row r="15" spans="2:23">
      <c r="H15" s="75">
        <v>8</v>
      </c>
      <c r="I15" s="105"/>
      <c r="J15" s="105"/>
      <c r="K15" s="105"/>
      <c r="M15" s="128"/>
    </row>
    <row r="16" spans="2:23">
      <c r="H16" s="75">
        <v>9</v>
      </c>
      <c r="I16" s="105"/>
      <c r="J16" s="105"/>
      <c r="K16" s="105"/>
      <c r="M16" s="128"/>
    </row>
    <row r="17" spans="8:13">
      <c r="H17" s="75">
        <v>10</v>
      </c>
      <c r="I17" s="105"/>
      <c r="J17" s="105"/>
      <c r="K17" s="105"/>
      <c r="M17" s="128"/>
    </row>
    <row r="18" spans="8:13">
      <c r="H18" s="75">
        <v>11</v>
      </c>
      <c r="I18" s="105"/>
      <c r="J18" s="105"/>
      <c r="K18" s="77"/>
      <c r="M18" s="128"/>
    </row>
    <row r="19" spans="8:13">
      <c r="H19" s="75">
        <v>12</v>
      </c>
      <c r="I19" s="105"/>
      <c r="J19" s="105"/>
      <c r="K19" s="77"/>
      <c r="M19" s="128"/>
    </row>
    <row r="20" spans="8:13">
      <c r="H20" s="75">
        <v>13</v>
      </c>
      <c r="I20" s="105"/>
      <c r="J20" s="105"/>
      <c r="K20" s="77"/>
      <c r="M20" s="106" t="s">
        <v>2</v>
      </c>
    </row>
    <row r="21" spans="8:13">
      <c r="H21" s="75">
        <v>14</v>
      </c>
      <c r="I21" s="105"/>
      <c r="J21" s="105"/>
      <c r="K21" s="105"/>
      <c r="M21" s="128"/>
    </row>
    <row r="22" spans="8:13">
      <c r="H22" s="75">
        <v>15</v>
      </c>
      <c r="I22" s="105"/>
      <c r="J22" s="105"/>
      <c r="K22" s="105"/>
      <c r="M22" s="106" t="s">
        <v>451</v>
      </c>
    </row>
    <row r="23" spans="8:13">
      <c r="H23" s="75">
        <v>16</v>
      </c>
      <c r="I23" s="105"/>
      <c r="J23" s="105"/>
      <c r="K23" s="105"/>
      <c r="M23" s="128"/>
    </row>
    <row r="24" spans="8:13">
      <c r="H24" s="75">
        <v>17</v>
      </c>
      <c r="I24" s="105"/>
      <c r="J24" s="105"/>
      <c r="K24" s="105"/>
      <c r="M24" s="127"/>
    </row>
    <row r="25" spans="8:13">
      <c r="H25" s="75">
        <v>18</v>
      </c>
      <c r="I25" s="105"/>
      <c r="J25" s="105"/>
      <c r="K25" s="105"/>
      <c r="M25" s="106" t="s">
        <v>357</v>
      </c>
    </row>
    <row r="26" spans="8:13">
      <c r="H26" s="75">
        <v>19</v>
      </c>
      <c r="I26" s="105"/>
      <c r="J26" s="105"/>
      <c r="K26" s="77"/>
      <c r="M26" s="128"/>
    </row>
    <row r="27" spans="8:13">
      <c r="H27" s="75">
        <v>20</v>
      </c>
      <c r="I27" s="105"/>
      <c r="J27" s="105"/>
      <c r="K27" s="105"/>
      <c r="M27" s="106" t="s">
        <v>355</v>
      </c>
    </row>
    <row r="28" spans="8:13">
      <c r="H28" s="75">
        <v>21</v>
      </c>
      <c r="I28" s="105"/>
      <c r="J28" s="105"/>
      <c r="K28" s="105"/>
      <c r="M28" s="106" t="s">
        <v>354</v>
      </c>
    </row>
    <row r="29" spans="8:13">
      <c r="H29" s="75">
        <v>22</v>
      </c>
      <c r="I29" s="105"/>
      <c r="J29" s="105"/>
      <c r="K29" s="105"/>
      <c r="M29" s="128"/>
    </row>
  </sheetData>
  <mergeCells count="1">
    <mergeCell ref="C7:E7"/>
  </mergeCells>
  <conditionalFormatting sqref="R2">
    <cfRule type="cellIs" dxfId="48" priority="1" operator="equal">
      <formula>"ACTIVO"</formula>
    </cfRule>
    <cfRule type="cellIs" dxfId="47" priority="2" operator="equal">
      <formula>"EN HOLD"</formula>
    </cfRule>
    <cfRule type="cellIs" dxfId="46" priority="3" operator="equal">
      <formula>"NO ACTIVO"</formula>
    </cfRule>
    <cfRule type="cellIs" dxfId="45" priority="13" operator="equal">
      <formula>"NO PRESUPUESTO"</formula>
    </cfRule>
    <cfRule type="cellIs" dxfId="44" priority="14" operator="equal">
      <formula>"NO CONTESTÓ"</formula>
    </cfRule>
    <cfRule type="cellIs" dxfId="43" priority="15" operator="equal">
      <formula>"ENTREGA INMEDIATA"</formula>
    </cfRule>
  </conditionalFormatting>
  <conditionalFormatting sqref="S2">
    <cfRule type="cellIs" dxfId="42" priority="4" operator="equal">
      <formula>"1 ENVIO DE INFO"</formula>
    </cfRule>
    <cfRule type="cellIs" dxfId="41" priority="5" operator="equal">
      <formula>"2 MUESTRA INTERÉS"</formula>
    </cfRule>
    <cfRule type="cellIs" dxfId="40" priority="6" operator="equal">
      <formula>"3 PRESENTACIÓN"</formula>
    </cfRule>
    <cfRule type="cellIs" dxfId="39" priority="7" operator="equal">
      <formula>"4 EVALUANDO"</formula>
    </cfRule>
    <cfRule type="cellIs" dxfId="38" priority="8" operator="equal">
      <formula>"5 NEGOCIACIÓN"</formula>
    </cfRule>
    <cfRule type="cellIs" dxfId="37" priority="9" operator="equal">
      <formula>"6 LISTO PARA CIERRE"</formula>
    </cfRule>
    <cfRule type="cellIs" dxfId="36" priority="10" operator="equal">
      <formula>"7 CIERRE GANADO"</formula>
    </cfRule>
    <cfRule type="cellIs" dxfId="35" priority="11" operator="equal">
      <formula>"8 CIERRE PERDIDO"</formula>
    </cfRule>
    <cfRule type="cellIs" dxfId="34" priority="12" operator="equal">
      <formula>"9 NO LE INTERESÓ"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9C78-B0E9-4E14-A18C-8715F8A80497}">
  <sheetPr>
    <tabColor rgb="FFFFFF00"/>
  </sheetPr>
  <dimension ref="A2:I58"/>
  <sheetViews>
    <sheetView topLeftCell="A33" workbookViewId="0">
      <selection activeCell="C46" sqref="C46"/>
    </sheetView>
  </sheetViews>
  <sheetFormatPr baseColWidth="10" defaultColWidth="11.5703125" defaultRowHeight="12.75"/>
  <cols>
    <col min="1" max="1" width="20.42578125" style="234" customWidth="1"/>
    <col min="2" max="2" width="2.5703125" style="234" customWidth="1"/>
    <col min="3" max="3" width="24.42578125" style="234" bestFit="1" customWidth="1"/>
    <col min="4" max="4" width="2.5703125" style="234" customWidth="1"/>
    <col min="5" max="5" width="22.140625" style="234" bestFit="1" customWidth="1"/>
    <col min="6" max="6" width="2.5703125" style="234" customWidth="1"/>
    <col min="7" max="7" width="27" style="234" customWidth="1"/>
    <col min="8" max="8" width="22.140625" style="234" bestFit="1" customWidth="1"/>
    <col min="9" max="16384" width="11.5703125" style="234"/>
  </cols>
  <sheetData>
    <row r="2" spans="1:8" ht="14.45" customHeight="1">
      <c r="A2" s="451" t="s">
        <v>158</v>
      </c>
      <c r="C2" s="451" t="s">
        <v>643</v>
      </c>
      <c r="E2" s="442" t="s">
        <v>644</v>
      </c>
      <c r="G2" s="293" t="s">
        <v>645</v>
      </c>
    </row>
    <row r="3" spans="1:8">
      <c r="A3" s="451"/>
      <c r="C3" s="451"/>
      <c r="E3" s="442"/>
      <c r="G3" s="293" t="s">
        <v>646</v>
      </c>
    </row>
    <row r="4" spans="1:8">
      <c r="A4" s="451"/>
      <c r="C4" s="451"/>
      <c r="E4" s="442"/>
      <c r="G4" s="293" t="s">
        <v>647</v>
      </c>
    </row>
    <row r="5" spans="1:8">
      <c r="A5" s="451"/>
      <c r="C5" s="451"/>
    </row>
    <row r="6" spans="1:8">
      <c r="A6" s="451"/>
      <c r="C6" s="451"/>
      <c r="E6" s="443" t="s">
        <v>648</v>
      </c>
      <c r="G6" s="442" t="s">
        <v>644</v>
      </c>
      <c r="H6" s="294" t="s">
        <v>645</v>
      </c>
    </row>
    <row r="7" spans="1:8">
      <c r="A7" s="451"/>
      <c r="C7" s="451"/>
      <c r="E7" s="443"/>
      <c r="G7" s="442"/>
      <c r="H7" s="294" t="s">
        <v>647</v>
      </c>
    </row>
    <row r="8" spans="1:8">
      <c r="A8" s="451"/>
      <c r="C8" s="451"/>
      <c r="E8" s="443"/>
      <c r="G8" s="442"/>
      <c r="H8" s="294" t="s">
        <v>649</v>
      </c>
    </row>
    <row r="9" spans="1:8">
      <c r="A9" s="451"/>
      <c r="C9" s="451"/>
      <c r="E9" s="443"/>
      <c r="G9" s="442"/>
      <c r="H9" s="294" t="s">
        <v>650</v>
      </c>
    </row>
    <row r="10" spans="1:8">
      <c r="A10" s="451"/>
      <c r="C10" s="451"/>
      <c r="E10" s="443"/>
      <c r="G10" s="442"/>
      <c r="H10" s="294" t="s">
        <v>651</v>
      </c>
    </row>
    <row r="11" spans="1:8">
      <c r="A11" s="451"/>
      <c r="C11" s="451"/>
      <c r="E11" s="443"/>
    </row>
    <row r="12" spans="1:8">
      <c r="A12" s="451"/>
      <c r="C12" s="451"/>
      <c r="E12" s="443"/>
      <c r="G12" s="444" t="s">
        <v>652</v>
      </c>
      <c r="H12" s="295" t="s">
        <v>653</v>
      </c>
    </row>
    <row r="13" spans="1:8">
      <c r="A13" s="451"/>
      <c r="C13" s="451"/>
      <c r="E13" s="443"/>
      <c r="G13" s="444"/>
      <c r="H13" s="295" t="s">
        <v>654</v>
      </c>
    </row>
    <row r="14" spans="1:8">
      <c r="A14" s="451"/>
      <c r="C14" s="451"/>
      <c r="E14" s="443"/>
      <c r="G14" s="444"/>
      <c r="H14" s="295" t="s">
        <v>655</v>
      </c>
    </row>
    <row r="15" spans="1:8">
      <c r="A15" s="451"/>
      <c r="C15" s="451"/>
      <c r="E15" s="443"/>
      <c r="G15" s="444"/>
      <c r="H15" s="295" t="s">
        <v>656</v>
      </c>
    </row>
    <row r="16" spans="1:8">
      <c r="A16" s="451"/>
      <c r="C16" s="451"/>
      <c r="E16" s="443"/>
      <c r="G16" s="444"/>
      <c r="H16" s="295" t="s">
        <v>657</v>
      </c>
    </row>
    <row r="17" spans="1:9">
      <c r="A17" s="451"/>
      <c r="C17" s="451"/>
      <c r="E17" s="443"/>
      <c r="G17" s="444"/>
      <c r="H17" s="295" t="s">
        <v>658</v>
      </c>
    </row>
    <row r="18" spans="1:9">
      <c r="A18" s="451"/>
      <c r="C18" s="451"/>
      <c r="E18" s="443"/>
      <c r="G18" s="444"/>
      <c r="H18" s="295" t="s">
        <v>659</v>
      </c>
    </row>
    <row r="19" spans="1:9">
      <c r="A19" s="451"/>
      <c r="C19" s="451"/>
      <c r="E19" s="443"/>
    </row>
    <row r="20" spans="1:9">
      <c r="A20" s="451"/>
      <c r="C20" s="451"/>
      <c r="E20" s="443"/>
      <c r="G20" s="443" t="s">
        <v>660</v>
      </c>
      <c r="H20" s="440" t="s">
        <v>652</v>
      </c>
      <c r="I20" s="304" t="s">
        <v>653</v>
      </c>
    </row>
    <row r="21" spans="1:9">
      <c r="A21" s="451"/>
      <c r="C21" s="451"/>
      <c r="E21" s="443"/>
      <c r="G21" s="443"/>
      <c r="H21" s="441"/>
      <c r="I21" s="304" t="s">
        <v>654</v>
      </c>
    </row>
    <row r="22" spans="1:9">
      <c r="A22" s="451"/>
      <c r="C22" s="451"/>
      <c r="E22" s="443"/>
      <c r="I22" s="305"/>
    </row>
    <row r="23" spans="1:9">
      <c r="A23" s="451"/>
      <c r="C23" s="451"/>
      <c r="E23" s="443"/>
      <c r="G23" s="443" t="s">
        <v>661</v>
      </c>
      <c r="H23" s="440" t="s">
        <v>652</v>
      </c>
      <c r="I23" s="304" t="s">
        <v>653</v>
      </c>
    </row>
    <row r="24" spans="1:9">
      <c r="A24" s="451"/>
      <c r="C24" s="451"/>
      <c r="E24" s="443"/>
      <c r="G24" s="443"/>
      <c r="H24" s="441"/>
      <c r="I24" s="304" t="s">
        <v>654</v>
      </c>
    </row>
    <row r="25" spans="1:9">
      <c r="A25" s="451"/>
      <c r="C25" s="451"/>
      <c r="E25" s="443"/>
      <c r="I25" s="305"/>
    </row>
    <row r="26" spans="1:9">
      <c r="A26" s="451"/>
      <c r="C26" s="451"/>
      <c r="E26" s="443"/>
      <c r="G26" s="443" t="s">
        <v>662</v>
      </c>
      <c r="H26" s="440" t="s">
        <v>652</v>
      </c>
      <c r="I26" s="304" t="s">
        <v>653</v>
      </c>
    </row>
    <row r="27" spans="1:9">
      <c r="A27" s="451"/>
      <c r="C27" s="451"/>
      <c r="E27" s="443"/>
      <c r="G27" s="443"/>
      <c r="H27" s="441"/>
      <c r="I27" s="304" t="s">
        <v>654</v>
      </c>
    </row>
    <row r="29" spans="1:9">
      <c r="A29" s="445" t="s">
        <v>663</v>
      </c>
      <c r="C29" s="448" t="s">
        <v>664</v>
      </c>
      <c r="E29" s="296" t="s">
        <v>665</v>
      </c>
    </row>
    <row r="30" spans="1:9">
      <c r="A30" s="446"/>
      <c r="C30" s="449"/>
      <c r="E30" s="296" t="s">
        <v>666</v>
      </c>
    </row>
    <row r="31" spans="1:9">
      <c r="A31" s="446"/>
      <c r="C31" s="449"/>
      <c r="E31" s="296" t="s">
        <v>651</v>
      </c>
    </row>
    <row r="32" spans="1:9">
      <c r="A32" s="447"/>
      <c r="C32" s="450"/>
      <c r="E32" s="296" t="s">
        <v>659</v>
      </c>
    </row>
    <row r="34" spans="1:3">
      <c r="A34" s="445" t="s">
        <v>667</v>
      </c>
      <c r="C34" s="297" t="s">
        <v>668</v>
      </c>
    </row>
    <row r="35" spans="1:3">
      <c r="A35" s="446"/>
      <c r="C35" s="297" t="s">
        <v>669</v>
      </c>
    </row>
    <row r="36" spans="1:3">
      <c r="A36" s="446"/>
      <c r="C36" s="297" t="s">
        <v>670</v>
      </c>
    </row>
    <row r="37" spans="1:3">
      <c r="A37" s="447"/>
      <c r="C37" s="297" t="s">
        <v>671</v>
      </c>
    </row>
    <row r="39" spans="1:3">
      <c r="A39" s="234" t="s">
        <v>672</v>
      </c>
    </row>
    <row r="40" spans="1:3">
      <c r="A40" s="234" t="s">
        <v>673</v>
      </c>
    </row>
    <row r="41" spans="1:3">
      <c r="A41" s="234" t="s">
        <v>674</v>
      </c>
    </row>
    <row r="42" spans="1:3">
      <c r="A42" s="234" t="s">
        <v>675</v>
      </c>
    </row>
    <row r="43" spans="1:3">
      <c r="A43" s="234" t="s">
        <v>676</v>
      </c>
    </row>
    <row r="44" spans="1:3">
      <c r="A44" s="234" t="s">
        <v>677</v>
      </c>
    </row>
    <row r="45" spans="1:3">
      <c r="A45" s="234" t="s">
        <v>678</v>
      </c>
    </row>
    <row r="51" spans="1:1">
      <c r="A51" s="234" t="s">
        <v>679</v>
      </c>
    </row>
    <row r="53" spans="1:1">
      <c r="A53" s="234" t="s">
        <v>680</v>
      </c>
    </row>
    <row r="56" spans="1:1">
      <c r="A56" s="234" t="s">
        <v>681</v>
      </c>
    </row>
    <row r="57" spans="1:1">
      <c r="A57" s="234" t="s">
        <v>682</v>
      </c>
    </row>
    <row r="58" spans="1:1">
      <c r="A58" s="234" t="s">
        <v>470</v>
      </c>
    </row>
  </sheetData>
  <mergeCells count="15">
    <mergeCell ref="A29:A32"/>
    <mergeCell ref="C29:C32"/>
    <mergeCell ref="A34:A37"/>
    <mergeCell ref="A2:A27"/>
    <mergeCell ref="C2:C27"/>
    <mergeCell ref="H20:H21"/>
    <mergeCell ref="H23:H24"/>
    <mergeCell ref="H26:H27"/>
    <mergeCell ref="E2:E4"/>
    <mergeCell ref="E6:E27"/>
    <mergeCell ref="G6:G10"/>
    <mergeCell ref="G12:G18"/>
    <mergeCell ref="G20:G21"/>
    <mergeCell ref="G23:G24"/>
    <mergeCell ref="G26:G27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890C-30E5-4720-8B70-C185C4763927}">
  <sheetPr>
    <tabColor rgb="FFFFFF00"/>
    <pageSetUpPr autoPageBreaks="0"/>
  </sheetPr>
  <dimension ref="A1:CM89"/>
  <sheetViews>
    <sheetView tabSelected="1" topLeftCell="A14" zoomScale="90" zoomScaleNormal="90" workbookViewId="0">
      <pane xSplit="3" topLeftCell="D1" activePane="topRight" state="frozen"/>
      <selection pane="topRight" activeCell="Q25" sqref="Q25"/>
    </sheetView>
  </sheetViews>
  <sheetFormatPr baseColWidth="10" defaultColWidth="3.140625" defaultRowHeight="15" outlineLevelCol="1"/>
  <cols>
    <col min="1" max="1" width="4.5703125" style="1" customWidth="1"/>
    <col min="2" max="2" width="1" style="1" customWidth="1"/>
    <col min="3" max="3" width="15.7109375" style="1" bestFit="1" customWidth="1"/>
    <col min="4" max="9" width="4.42578125" style="10" customWidth="1"/>
    <col min="10" max="41" width="4.42578125" style="1" customWidth="1"/>
    <col min="42" max="46" width="3.85546875" style="1" bestFit="1" customWidth="1"/>
    <col min="47" max="51" width="4.42578125" style="1" customWidth="1"/>
    <col min="52" max="52" width="4.42578125" style="1" customWidth="1" outlineLevel="1"/>
    <col min="53" max="75" width="4.42578125" style="1" customWidth="1"/>
    <col min="76" max="85" width="5.28515625" style="1" bestFit="1" customWidth="1"/>
    <col min="86" max="86" width="3.85546875" style="1" bestFit="1" customWidth="1"/>
    <col min="87" max="87" width="5.140625" style="1" bestFit="1" customWidth="1"/>
    <col min="88" max="16384" width="3.140625" style="1"/>
  </cols>
  <sheetData>
    <row r="1" spans="1:61">
      <c r="A1" s="37"/>
      <c r="B1" s="37"/>
      <c r="D1" s="1"/>
      <c r="E1" s="1"/>
      <c r="F1" s="1"/>
      <c r="G1" s="1"/>
      <c r="H1" s="1"/>
      <c r="I1" s="1"/>
    </row>
    <row r="2" spans="1:61">
      <c r="C2" s="104"/>
      <c r="F2" s="1"/>
      <c r="G2" s="1"/>
      <c r="H2" s="1"/>
      <c r="I2" s="1"/>
    </row>
    <row r="3" spans="1:61" s="2" customFormat="1" ht="14.45" customHeight="1">
      <c r="A3" s="460" t="s">
        <v>158</v>
      </c>
      <c r="D3" s="467" t="s">
        <v>632</v>
      </c>
      <c r="E3" s="333"/>
      <c r="F3" s="469" t="s">
        <v>402</v>
      </c>
      <c r="G3" s="500" t="s">
        <v>71</v>
      </c>
      <c r="H3" s="500" t="s">
        <v>631</v>
      </c>
      <c r="I3" s="500" t="s">
        <v>624</v>
      </c>
      <c r="J3" s="500" t="s">
        <v>640</v>
      </c>
      <c r="K3" s="499" t="s">
        <v>625</v>
      </c>
      <c r="L3" s="499"/>
      <c r="M3" s="499" t="s">
        <v>710</v>
      </c>
      <c r="N3" s="500" t="s">
        <v>709</v>
      </c>
      <c r="O3" s="492" t="s">
        <v>714</v>
      </c>
      <c r="P3" s="492"/>
      <c r="Q3" s="492"/>
      <c r="R3" s="511" t="s">
        <v>627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61" s="341" customFormat="1" ht="84.6" customHeight="1">
      <c r="A4" s="461"/>
      <c r="D4" s="467"/>
      <c r="E4" s="333" t="s">
        <v>2</v>
      </c>
      <c r="F4" s="469"/>
      <c r="G4" s="500"/>
      <c r="H4" s="500"/>
      <c r="I4" s="500"/>
      <c r="J4" s="500"/>
      <c r="K4" s="499"/>
      <c r="L4" s="499"/>
      <c r="M4" s="499"/>
      <c r="N4" s="500"/>
      <c r="O4" s="342" t="s">
        <v>364</v>
      </c>
      <c r="P4" s="342" t="s">
        <v>712</v>
      </c>
      <c r="Q4" s="342" t="s">
        <v>361</v>
      </c>
      <c r="R4" s="511"/>
      <c r="AB4" s="341" t="s">
        <v>748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61" ht="14.45" customHeight="1">
      <c r="A5" s="461"/>
      <c r="B5" s="341"/>
      <c r="C5" s="15" t="s">
        <v>344</v>
      </c>
      <c r="D5" s="289"/>
      <c r="E5" s="289"/>
      <c r="F5" s="28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</row>
    <row r="6" spans="1:61">
      <c r="A6" s="461"/>
      <c r="B6" s="341"/>
      <c r="C6" s="15" t="s">
        <v>409</v>
      </c>
      <c r="D6" s="289"/>
      <c r="E6" s="289"/>
      <c r="F6" s="28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291"/>
    </row>
    <row r="7" spans="1:61">
      <c r="A7" s="461"/>
      <c r="B7" s="341"/>
      <c r="C7" s="15" t="s">
        <v>342</v>
      </c>
      <c r="D7" s="289"/>
      <c r="E7" s="289"/>
      <c r="F7" s="289"/>
      <c r="G7" s="290"/>
      <c r="H7" s="290"/>
      <c r="I7" s="292"/>
      <c r="J7" s="292"/>
      <c r="K7" s="292"/>
      <c r="L7" s="292"/>
      <c r="M7" s="292"/>
      <c r="N7" s="292"/>
      <c r="O7" s="292"/>
      <c r="P7" s="292"/>
      <c r="Q7" s="292"/>
      <c r="R7" s="292"/>
    </row>
    <row r="8" spans="1:61">
      <c r="A8" s="461"/>
      <c r="B8" s="341"/>
      <c r="C8" s="15" t="s">
        <v>713</v>
      </c>
      <c r="D8" s="289"/>
      <c r="E8" s="289"/>
      <c r="F8" s="289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</row>
    <row r="9" spans="1:61">
      <c r="A9" s="461"/>
      <c r="B9" s="341"/>
      <c r="C9" s="15" t="s">
        <v>341</v>
      </c>
      <c r="D9" s="289"/>
      <c r="E9" s="289"/>
      <c r="F9" s="289"/>
      <c r="G9" s="290"/>
      <c r="H9" s="290"/>
      <c r="I9" s="290"/>
      <c r="J9" s="290"/>
      <c r="K9" s="290"/>
      <c r="L9" s="290"/>
      <c r="M9" s="290"/>
      <c r="N9" s="292"/>
      <c r="O9" s="292"/>
      <c r="P9" s="292"/>
      <c r="Q9" s="292"/>
      <c r="R9" s="290"/>
    </row>
    <row r="10" spans="1:61">
      <c r="A10" s="462"/>
      <c r="B10" s="341"/>
      <c r="C10" s="15" t="s">
        <v>458</v>
      </c>
      <c r="D10" s="289"/>
      <c r="E10" s="289"/>
      <c r="F10" s="289"/>
      <c r="G10" s="290"/>
      <c r="H10" s="290"/>
      <c r="I10" s="290"/>
      <c r="J10" s="290"/>
      <c r="K10" s="290"/>
      <c r="L10" s="290"/>
      <c r="M10" s="290"/>
      <c r="N10" s="290"/>
      <c r="O10" s="290"/>
      <c r="P10" s="290"/>
      <c r="Q10" s="290"/>
      <c r="R10" s="290"/>
    </row>
    <row r="11" spans="1:61">
      <c r="A11" s="341"/>
      <c r="B11" s="341"/>
      <c r="D11" s="1"/>
      <c r="E11" s="1"/>
      <c r="H11" s="1"/>
      <c r="I11" s="1"/>
      <c r="N11" s="132"/>
      <c r="O11" s="132"/>
      <c r="P11" s="132"/>
      <c r="Q11" s="132"/>
      <c r="R11" s="132"/>
      <c r="S11" s="132"/>
      <c r="T11" s="132"/>
      <c r="U11" s="132"/>
    </row>
    <row r="12" spans="1:61">
      <c r="A12" s="341"/>
      <c r="B12" s="341"/>
      <c r="D12" s="1"/>
      <c r="E12" s="1"/>
      <c r="H12" s="1"/>
      <c r="I12" s="1"/>
    </row>
    <row r="13" spans="1:61" ht="14.45" customHeight="1">
      <c r="A13" s="460" t="s">
        <v>461</v>
      </c>
      <c r="D13" s="467" t="s">
        <v>632</v>
      </c>
      <c r="E13" s="469" t="s">
        <v>402</v>
      </c>
      <c r="F13" s="499" t="s">
        <v>71</v>
      </c>
      <c r="G13" s="499" t="s">
        <v>69</v>
      </c>
      <c r="H13" s="502" t="s">
        <v>96</v>
      </c>
      <c r="I13" s="502" t="s">
        <v>133</v>
      </c>
      <c r="J13" s="502" t="s">
        <v>134</v>
      </c>
      <c r="K13" s="502" t="s">
        <v>137</v>
      </c>
      <c r="L13" s="478" t="s">
        <v>2</v>
      </c>
      <c r="M13" s="478" t="s">
        <v>3</v>
      </c>
      <c r="N13" s="478" t="s">
        <v>72</v>
      </c>
      <c r="O13" s="478" t="s">
        <v>74</v>
      </c>
      <c r="P13" s="478" t="s">
        <v>0</v>
      </c>
      <c r="Q13" s="478" t="s">
        <v>53</v>
      </c>
      <c r="R13" s="478" t="s">
        <v>1</v>
      </c>
      <c r="S13" s="471" t="s">
        <v>83</v>
      </c>
      <c r="T13" s="471"/>
      <c r="U13" s="497" t="s">
        <v>79</v>
      </c>
      <c r="V13" s="458" t="s">
        <v>110</v>
      </c>
      <c r="W13" s="459"/>
      <c r="X13" s="472" t="s">
        <v>715</v>
      </c>
      <c r="Y13" s="489" t="s">
        <v>94</v>
      </c>
      <c r="Z13" s="490"/>
      <c r="AA13" s="490"/>
      <c r="AB13" s="490"/>
      <c r="AC13" s="490"/>
      <c r="AD13" s="490"/>
      <c r="AE13" s="490"/>
      <c r="AF13" s="491"/>
      <c r="AG13" s="485" t="s">
        <v>324</v>
      </c>
      <c r="AH13" s="487" t="s">
        <v>718</v>
      </c>
      <c r="AI13" s="455" t="s">
        <v>716</v>
      </c>
      <c r="AJ13" s="456"/>
      <c r="AK13" s="457"/>
      <c r="AL13" s="452" t="s">
        <v>80</v>
      </c>
      <c r="AM13" s="453"/>
      <c r="AN13" s="454"/>
      <c r="AO13" s="452" t="s">
        <v>81</v>
      </c>
      <c r="AP13" s="453"/>
      <c r="AQ13" s="454"/>
      <c r="AR13" s="452" t="s">
        <v>82</v>
      </c>
      <c r="AS13" s="453"/>
      <c r="AT13" s="454"/>
      <c r="AU13" s="496" t="s">
        <v>719</v>
      </c>
      <c r="AV13" s="496"/>
      <c r="AW13" s="494" t="s">
        <v>129</v>
      </c>
      <c r="AX13" s="495"/>
      <c r="AY13" s="492" t="s">
        <v>629</v>
      </c>
      <c r="AZ13" s="492"/>
      <c r="BA13" s="492"/>
      <c r="BB13" s="493" t="s">
        <v>630</v>
      </c>
      <c r="BC13" s="493"/>
      <c r="BD13" s="493"/>
      <c r="BE13" s="480" t="s">
        <v>711</v>
      </c>
      <c r="BF13" s="480" t="s">
        <v>724</v>
      </c>
      <c r="BG13" s="482" t="s">
        <v>455</v>
      </c>
      <c r="BH13" s="474" t="s">
        <v>627</v>
      </c>
      <c r="BI13" s="474" t="s">
        <v>694</v>
      </c>
    </row>
    <row r="14" spans="1:61" ht="88.9" customHeight="1">
      <c r="A14" s="461"/>
      <c r="D14" s="468"/>
      <c r="E14" s="470"/>
      <c r="F14" s="501"/>
      <c r="G14" s="501"/>
      <c r="H14" s="503"/>
      <c r="I14" s="503"/>
      <c r="J14" s="503"/>
      <c r="K14" s="503"/>
      <c r="L14" s="479"/>
      <c r="M14" s="479"/>
      <c r="N14" s="479"/>
      <c r="O14" s="479"/>
      <c r="P14" s="479"/>
      <c r="Q14" s="479"/>
      <c r="R14" s="479"/>
      <c r="S14" s="334" t="s">
        <v>75</v>
      </c>
      <c r="T14" s="334" t="s">
        <v>76</v>
      </c>
      <c r="U14" s="498"/>
      <c r="V14" s="334" t="s">
        <v>75</v>
      </c>
      <c r="W14" s="334" t="s">
        <v>76</v>
      </c>
      <c r="X14" s="473"/>
      <c r="Y14" s="476" t="s">
        <v>716</v>
      </c>
      <c r="Z14" s="477"/>
      <c r="AA14" s="477" t="s">
        <v>80</v>
      </c>
      <c r="AB14" s="477"/>
      <c r="AC14" s="477" t="s">
        <v>81</v>
      </c>
      <c r="AD14" s="477"/>
      <c r="AE14" s="477" t="s">
        <v>82</v>
      </c>
      <c r="AF14" s="484"/>
      <c r="AG14" s="486"/>
      <c r="AH14" s="488"/>
      <c r="AI14" s="407" t="s">
        <v>759</v>
      </c>
      <c r="AJ14" s="407" t="s">
        <v>717</v>
      </c>
      <c r="AK14" s="336" t="s">
        <v>121</v>
      </c>
      <c r="AL14" s="407" t="s">
        <v>759</v>
      </c>
      <c r="AM14" s="336" t="s">
        <v>717</v>
      </c>
      <c r="AN14" s="336" t="s">
        <v>121</v>
      </c>
      <c r="AO14" s="407" t="s">
        <v>759</v>
      </c>
      <c r="AP14" s="336" t="s">
        <v>717</v>
      </c>
      <c r="AQ14" s="336" t="s">
        <v>121</v>
      </c>
      <c r="AR14" s="407" t="s">
        <v>759</v>
      </c>
      <c r="AS14" s="336" t="s">
        <v>717</v>
      </c>
      <c r="AT14" s="336" t="s">
        <v>121</v>
      </c>
      <c r="AU14" s="335" t="s">
        <v>720</v>
      </c>
      <c r="AV14" s="335" t="s">
        <v>721</v>
      </c>
      <c r="AW14" s="337" t="s">
        <v>722</v>
      </c>
      <c r="AX14" s="338" t="s">
        <v>723</v>
      </c>
      <c r="AY14" s="343" t="s">
        <v>364</v>
      </c>
      <c r="AZ14" s="343" t="s">
        <v>712</v>
      </c>
      <c r="BA14" s="343" t="s">
        <v>361</v>
      </c>
      <c r="BB14" s="339" t="s">
        <v>364</v>
      </c>
      <c r="BC14" s="339" t="s">
        <v>712</v>
      </c>
      <c r="BD14" s="339" t="s">
        <v>361</v>
      </c>
      <c r="BE14" s="481"/>
      <c r="BF14" s="481"/>
      <c r="BG14" s="483"/>
      <c r="BH14" s="475"/>
      <c r="BI14" s="475"/>
    </row>
    <row r="15" spans="1:61">
      <c r="A15" s="461"/>
      <c r="C15" s="287" t="s">
        <v>619</v>
      </c>
      <c r="D15" s="289"/>
      <c r="E15" s="28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299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306"/>
      <c r="AX15" s="306"/>
      <c r="AY15" s="98"/>
      <c r="AZ15" s="98"/>
      <c r="BA15" s="98"/>
      <c r="BB15" s="98"/>
      <c r="BC15" s="98"/>
      <c r="BD15" s="299"/>
      <c r="BE15" s="98"/>
      <c r="BF15" s="98"/>
      <c r="BG15" s="98"/>
      <c r="BH15" s="98"/>
      <c r="BI15" s="98"/>
    </row>
    <row r="16" spans="1:61">
      <c r="A16" s="461"/>
      <c r="C16" s="287" t="s">
        <v>620</v>
      </c>
      <c r="D16" s="289"/>
      <c r="E16" s="28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299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306"/>
      <c r="AX16" s="306"/>
      <c r="AY16" s="98"/>
      <c r="AZ16" s="98"/>
      <c r="BA16" s="98"/>
      <c r="BB16" s="98"/>
      <c r="BC16" s="98"/>
      <c r="BD16" s="299"/>
      <c r="BE16" s="291"/>
      <c r="BF16" s="291"/>
      <c r="BG16" s="98"/>
      <c r="BH16" s="98"/>
      <c r="BI16" s="98"/>
    </row>
    <row r="17" spans="1:91">
      <c r="A17" s="461"/>
      <c r="C17" s="287" t="s">
        <v>621</v>
      </c>
      <c r="D17" s="289"/>
      <c r="E17" s="289"/>
      <c r="F17" s="290"/>
      <c r="G17" s="290"/>
      <c r="H17" s="290"/>
      <c r="I17" s="290"/>
      <c r="J17" s="290"/>
      <c r="K17" s="290"/>
      <c r="L17" s="290"/>
      <c r="M17" s="290"/>
      <c r="N17" s="290"/>
      <c r="O17" s="290"/>
      <c r="P17" s="290"/>
      <c r="Q17" s="290"/>
      <c r="R17" s="290"/>
      <c r="S17" s="290"/>
      <c r="T17" s="301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0"/>
      <c r="AR17" s="290"/>
      <c r="AS17" s="290"/>
      <c r="AT17" s="290"/>
      <c r="AU17" s="290"/>
      <c r="AV17" s="290"/>
      <c r="AW17" s="290"/>
      <c r="AX17" s="290"/>
      <c r="AY17" s="292"/>
      <c r="AZ17" s="292"/>
      <c r="BA17" s="292"/>
      <c r="BB17" s="292"/>
      <c r="BC17" s="292"/>
      <c r="BD17" s="300"/>
      <c r="BE17" s="292"/>
      <c r="BF17" s="292"/>
      <c r="BG17" s="290"/>
      <c r="BH17" s="292"/>
      <c r="BI17" s="292"/>
    </row>
    <row r="18" spans="1:91">
      <c r="A18" s="461"/>
      <c r="C18" s="287" t="s">
        <v>642</v>
      </c>
      <c r="D18" s="289"/>
      <c r="E18" s="289"/>
      <c r="F18" s="290"/>
      <c r="G18" s="290"/>
      <c r="H18" s="290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300"/>
      <c r="U18" s="292"/>
      <c r="V18" s="292"/>
      <c r="W18" s="292"/>
      <c r="X18" s="292"/>
      <c r="Y18" s="292"/>
      <c r="Z18" s="292"/>
      <c r="AA18" s="292"/>
      <c r="AB18" s="292"/>
      <c r="AC18" s="292"/>
      <c r="AD18" s="292"/>
      <c r="AE18" s="292"/>
      <c r="AF18" s="292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0"/>
      <c r="AR18" s="290"/>
      <c r="AS18" s="290"/>
      <c r="AT18" s="290"/>
      <c r="AU18" s="290"/>
      <c r="AV18" s="290"/>
      <c r="AW18" s="290"/>
      <c r="AX18" s="290"/>
      <c r="AY18" s="290"/>
      <c r="AZ18" s="290"/>
      <c r="BA18" s="290"/>
      <c r="BB18" s="290"/>
      <c r="BC18" s="290"/>
      <c r="BD18" s="301"/>
      <c r="BE18" s="290"/>
      <c r="BF18" s="290"/>
      <c r="BG18" s="292"/>
      <c r="BH18" s="290"/>
      <c r="BI18" s="292"/>
    </row>
    <row r="19" spans="1:91">
      <c r="A19" s="461"/>
      <c r="C19" s="287" t="s">
        <v>703</v>
      </c>
      <c r="D19" s="289"/>
      <c r="E19" s="289"/>
      <c r="F19" s="290"/>
      <c r="G19" s="290"/>
      <c r="H19" s="290"/>
      <c r="I19" s="290"/>
      <c r="J19" s="290"/>
      <c r="K19" s="290"/>
      <c r="L19" s="290"/>
      <c r="M19" s="290"/>
      <c r="N19" s="290"/>
      <c r="O19" s="290"/>
      <c r="P19" s="290"/>
      <c r="Q19" s="290"/>
      <c r="R19" s="290"/>
      <c r="S19" s="290"/>
      <c r="T19" s="301"/>
      <c r="U19" s="290"/>
      <c r="V19" s="290"/>
      <c r="W19" s="290"/>
      <c r="X19" s="290"/>
      <c r="Y19" s="290"/>
      <c r="Z19" s="290"/>
      <c r="AA19" s="290"/>
      <c r="AB19" s="290"/>
      <c r="AC19" s="290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0"/>
      <c r="AR19" s="290"/>
      <c r="AS19" s="290"/>
      <c r="AT19" s="290"/>
      <c r="AU19" s="290"/>
      <c r="AV19" s="290"/>
      <c r="AW19" s="290"/>
      <c r="AX19" s="290"/>
      <c r="AY19" s="292"/>
      <c r="AZ19" s="292"/>
      <c r="BA19" s="292"/>
      <c r="BB19" s="292"/>
      <c r="BC19" s="292"/>
      <c r="BD19" s="300"/>
      <c r="BE19" s="290"/>
      <c r="BF19" s="290"/>
      <c r="BG19" s="290"/>
      <c r="BH19" s="290"/>
      <c r="BI19" s="290"/>
    </row>
    <row r="20" spans="1:91">
      <c r="A20" s="462"/>
      <c r="C20" s="287" t="s">
        <v>623</v>
      </c>
      <c r="D20" s="289"/>
      <c r="E20" s="289"/>
      <c r="F20" s="290"/>
      <c r="G20" s="290"/>
      <c r="H20" s="290"/>
      <c r="I20" s="292"/>
      <c r="J20" s="292"/>
      <c r="K20" s="292"/>
      <c r="L20" s="290"/>
      <c r="M20" s="290"/>
      <c r="N20" s="290"/>
      <c r="O20" s="290"/>
      <c r="P20" s="290"/>
      <c r="Q20" s="290"/>
      <c r="R20" s="290"/>
      <c r="S20" s="290"/>
      <c r="T20" s="301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  <c r="BD20" s="301"/>
      <c r="BE20" s="290"/>
      <c r="BF20" s="290"/>
      <c r="BG20" s="290"/>
      <c r="BH20" s="290"/>
      <c r="BI20" s="290"/>
    </row>
    <row r="21" spans="1:91">
      <c r="F21" s="1"/>
      <c r="G21" s="1"/>
      <c r="H21" s="1"/>
      <c r="I21" s="1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AI21" s="1" t="s">
        <v>685</v>
      </c>
      <c r="AL21" s="1" t="s">
        <v>685</v>
      </c>
      <c r="AO21" s="1" t="s">
        <v>685</v>
      </c>
      <c r="AR21" s="1" t="s">
        <v>685</v>
      </c>
      <c r="BB21" s="132"/>
      <c r="BE21" s="132" t="s">
        <v>685</v>
      </c>
      <c r="BF21" s="132" t="s">
        <v>685</v>
      </c>
    </row>
    <row r="22" spans="1:91">
      <c r="G22" s="1"/>
      <c r="H22" s="1"/>
      <c r="I22" s="1"/>
      <c r="BU22" s="404"/>
      <c r="BX22" s="404"/>
      <c r="CD22" s="404"/>
    </row>
    <row r="23" spans="1:91" ht="34.15" customHeight="1">
      <c r="A23" s="466" t="s">
        <v>726</v>
      </c>
      <c r="D23" s="510" t="s">
        <v>632</v>
      </c>
      <c r="E23" s="510" t="s">
        <v>402</v>
      </c>
      <c r="F23" s="365"/>
      <c r="G23" s="365"/>
      <c r="H23" s="365"/>
      <c r="I23" s="365"/>
      <c r="J23" s="509" t="s">
        <v>147</v>
      </c>
      <c r="K23" s="509"/>
      <c r="L23" s="509"/>
      <c r="M23" s="408" t="s">
        <v>6</v>
      </c>
      <c r="N23" s="408"/>
      <c r="O23" s="408"/>
      <c r="P23" s="408"/>
      <c r="Q23" s="408"/>
      <c r="R23" s="408"/>
      <c r="S23" s="408"/>
      <c r="T23" s="408"/>
      <c r="U23" s="366"/>
      <c r="V23" s="366"/>
      <c r="W23" s="366"/>
      <c r="X23" s="528" t="s">
        <v>128</v>
      </c>
      <c r="Y23" s="529"/>
      <c r="Z23" s="529"/>
      <c r="AA23" s="529"/>
      <c r="AB23" s="529"/>
      <c r="AC23" s="529"/>
      <c r="AD23" s="529"/>
      <c r="AE23" s="529"/>
      <c r="AF23" s="529"/>
      <c r="AG23" s="529"/>
      <c r="AH23" s="529"/>
      <c r="AI23" s="529"/>
      <c r="AJ23" s="529"/>
      <c r="AK23" s="529"/>
      <c r="AL23" s="530"/>
      <c r="AM23" s="504" t="s">
        <v>463</v>
      </c>
      <c r="AN23" s="505"/>
      <c r="AO23" s="506"/>
      <c r="AP23" s="504" t="s">
        <v>88</v>
      </c>
      <c r="AQ23" s="505"/>
      <c r="AR23" s="505"/>
      <c r="AS23" s="505"/>
      <c r="AT23" s="506"/>
      <c r="AU23" s="516" t="s">
        <v>143</v>
      </c>
      <c r="AV23" s="517"/>
      <c r="AW23" s="517"/>
      <c r="AX23" s="517"/>
      <c r="AY23" s="517"/>
      <c r="AZ23" s="517"/>
      <c r="BA23" s="517"/>
      <c r="BB23" s="517"/>
      <c r="BC23" s="518"/>
      <c r="BD23" s="482" t="s">
        <v>129</v>
      </c>
      <c r="BE23" s="383">
        <v>0.03</v>
      </c>
      <c r="BF23" s="383">
        <v>2.5000000000000001E-2</v>
      </c>
      <c r="BG23" s="367"/>
      <c r="BH23" s="367"/>
      <c r="BI23" s="368"/>
      <c r="BJ23" s="369"/>
      <c r="BK23" s="369"/>
      <c r="BL23" s="383">
        <v>0.105</v>
      </c>
      <c r="BM23" s="344">
        <v>15</v>
      </c>
      <c r="BN23" s="515" t="s">
        <v>140</v>
      </c>
      <c r="BO23" s="515"/>
      <c r="BP23" s="515"/>
      <c r="BQ23" s="512" t="s">
        <v>119</v>
      </c>
      <c r="BR23" s="512"/>
      <c r="BS23" s="512"/>
      <c r="BT23" s="512"/>
      <c r="BU23" s="512"/>
      <c r="BV23" s="512"/>
      <c r="BW23" s="507" t="s">
        <v>124</v>
      </c>
      <c r="BX23" s="508"/>
      <c r="BY23" s="384">
        <v>7.0000000000000007E-2</v>
      </c>
      <c r="BZ23" s="371" t="s">
        <v>124</v>
      </c>
      <c r="CA23" s="371"/>
      <c r="CB23" s="385">
        <v>11</v>
      </c>
      <c r="CC23" s="370"/>
      <c r="CD23" s="463" t="s">
        <v>135</v>
      </c>
      <c r="CE23" s="464"/>
      <c r="CF23" s="464"/>
      <c r="CG23" s="465"/>
      <c r="CH23" s="386">
        <v>7.0000000000000007E-2</v>
      </c>
      <c r="CI23" s="513" t="s">
        <v>122</v>
      </c>
      <c r="CJ23" s="513"/>
      <c r="CK23" s="513"/>
      <c r="CL23" s="513"/>
      <c r="CM23" s="513"/>
    </row>
    <row r="24" spans="1:91" s="364" customFormat="1" ht="96.6" customHeight="1">
      <c r="A24" s="466"/>
      <c r="C24" s="23"/>
      <c r="D24" s="510"/>
      <c r="E24" s="510"/>
      <c r="F24" s="388" t="s">
        <v>96</v>
      </c>
      <c r="G24" s="388" t="s">
        <v>97</v>
      </c>
      <c r="H24" s="388" t="s">
        <v>71</v>
      </c>
      <c r="I24" s="388" t="s">
        <v>69</v>
      </c>
      <c r="J24" s="372" t="s">
        <v>2</v>
      </c>
      <c r="K24" s="372" t="s">
        <v>3</v>
      </c>
      <c r="L24" s="372" t="s">
        <v>4</v>
      </c>
      <c r="M24" s="373" t="s">
        <v>83</v>
      </c>
      <c r="N24" s="373" t="s">
        <v>125</v>
      </c>
      <c r="O24" s="373" t="s">
        <v>6</v>
      </c>
      <c r="P24" s="389" t="s">
        <v>760</v>
      </c>
      <c r="Q24" s="389" t="s">
        <v>761</v>
      </c>
      <c r="R24" s="389" t="s">
        <v>115</v>
      </c>
      <c r="S24" s="373" t="s">
        <v>130</v>
      </c>
      <c r="T24" s="373" t="s">
        <v>95</v>
      </c>
      <c r="U24" s="374" t="s">
        <v>388</v>
      </c>
      <c r="V24" s="520" t="s">
        <v>145</v>
      </c>
      <c r="W24" s="521"/>
      <c r="X24" s="406" t="s">
        <v>753</v>
      </c>
      <c r="Y24" s="405" t="s">
        <v>110</v>
      </c>
      <c r="Z24" s="405" t="s">
        <v>84</v>
      </c>
      <c r="AA24" s="405" t="s">
        <v>757</v>
      </c>
      <c r="AB24" s="526" t="s">
        <v>462</v>
      </c>
      <c r="AC24" s="527"/>
      <c r="AD24" s="526" t="s">
        <v>87</v>
      </c>
      <c r="AE24" s="527"/>
      <c r="AF24" s="406" t="s">
        <v>110</v>
      </c>
      <c r="AG24" s="406" t="s">
        <v>84</v>
      </c>
      <c r="AH24" s="406" t="s">
        <v>757</v>
      </c>
      <c r="AI24" s="524" t="s">
        <v>462</v>
      </c>
      <c r="AJ24" s="525"/>
      <c r="AK24" s="524" t="s">
        <v>87</v>
      </c>
      <c r="AL24" s="525"/>
      <c r="AM24" s="397" t="s">
        <v>464</v>
      </c>
      <c r="AN24" s="522" t="s">
        <v>465</v>
      </c>
      <c r="AO24" s="523"/>
      <c r="AP24" s="375" t="s">
        <v>741</v>
      </c>
      <c r="AQ24" s="375" t="s">
        <v>83</v>
      </c>
      <c r="AR24" s="375" t="s">
        <v>465</v>
      </c>
      <c r="AS24" s="375" t="s">
        <v>83</v>
      </c>
      <c r="AT24" s="375" t="s">
        <v>6</v>
      </c>
      <c r="AU24" s="376" t="s">
        <v>113</v>
      </c>
      <c r="AV24" s="376" t="s">
        <v>115</v>
      </c>
      <c r="AW24" s="376" t="s">
        <v>150</v>
      </c>
      <c r="AX24" s="376" t="s">
        <v>115</v>
      </c>
      <c r="AY24" s="376" t="s">
        <v>114</v>
      </c>
      <c r="AZ24" s="376" t="s">
        <v>142</v>
      </c>
      <c r="BA24" s="376" t="s">
        <v>151</v>
      </c>
      <c r="BB24" s="514" t="s">
        <v>116</v>
      </c>
      <c r="BC24" s="514"/>
      <c r="BD24" s="519"/>
      <c r="BE24" s="377" t="s">
        <v>117</v>
      </c>
      <c r="BF24" s="377" t="s">
        <v>118</v>
      </c>
      <c r="BG24" s="377" t="s">
        <v>156</v>
      </c>
      <c r="BH24" s="377" t="s">
        <v>155</v>
      </c>
      <c r="BI24" s="377" t="s">
        <v>127</v>
      </c>
      <c r="BJ24" s="378" t="s">
        <v>115</v>
      </c>
      <c r="BK24" s="378" t="s">
        <v>153</v>
      </c>
      <c r="BL24" s="378" t="s">
        <v>146</v>
      </c>
      <c r="BM24" s="378" t="s">
        <v>126</v>
      </c>
      <c r="BN24" s="378" t="s">
        <v>421</v>
      </c>
      <c r="BO24" s="378" t="s">
        <v>152</v>
      </c>
      <c r="BP24" s="378" t="s">
        <v>127</v>
      </c>
      <c r="BQ24" s="379" t="s">
        <v>149</v>
      </c>
      <c r="BR24" s="379" t="s">
        <v>113</v>
      </c>
      <c r="BS24" s="379" t="s">
        <v>136</v>
      </c>
      <c r="BT24" s="379" t="s">
        <v>125</v>
      </c>
      <c r="BU24" s="379" t="s">
        <v>136</v>
      </c>
      <c r="BV24" s="379" t="s">
        <v>127</v>
      </c>
      <c r="BW24" s="380" t="s">
        <v>113</v>
      </c>
      <c r="BX24" s="380" t="s">
        <v>136</v>
      </c>
      <c r="BY24" s="380" t="s">
        <v>146</v>
      </c>
      <c r="BZ24" s="380" t="s">
        <v>125</v>
      </c>
      <c r="CA24" s="380" t="s">
        <v>136</v>
      </c>
      <c r="CB24" s="380" t="s">
        <v>114</v>
      </c>
      <c r="CC24" s="380" t="s">
        <v>127</v>
      </c>
      <c r="CD24" s="387" t="s">
        <v>127</v>
      </c>
      <c r="CE24" s="387" t="s">
        <v>154</v>
      </c>
      <c r="CF24" s="387" t="s">
        <v>157</v>
      </c>
      <c r="CG24" s="387" t="s">
        <v>146</v>
      </c>
      <c r="CH24" s="381" t="s">
        <v>146</v>
      </c>
      <c r="CI24" s="381" t="s">
        <v>131</v>
      </c>
      <c r="CJ24" s="381" t="s">
        <v>114</v>
      </c>
      <c r="CK24" s="381" t="s">
        <v>126</v>
      </c>
      <c r="CL24" s="381" t="s">
        <v>127</v>
      </c>
      <c r="CM24" s="382" t="s">
        <v>123</v>
      </c>
    </row>
    <row r="25" spans="1:91" s="23" customFormat="1" ht="78">
      <c r="A25" s="466"/>
      <c r="C25" s="341"/>
      <c r="D25" s="11">
        <v>1</v>
      </c>
      <c r="E25" s="48" t="s">
        <v>107</v>
      </c>
      <c r="F25" s="129" t="s">
        <v>160</v>
      </c>
      <c r="G25" s="129" t="s">
        <v>165</v>
      </c>
      <c r="H25" s="129" t="s">
        <v>100</v>
      </c>
      <c r="I25" s="129" t="s">
        <v>236</v>
      </c>
      <c r="J25" s="344" t="s">
        <v>111</v>
      </c>
      <c r="K25" s="344">
        <v>4</v>
      </c>
      <c r="L25" s="344" t="s">
        <v>171</v>
      </c>
      <c r="M25" s="345">
        <v>88</v>
      </c>
      <c r="N25" s="346">
        <f>M25+AQ25</f>
        <v>89.23</v>
      </c>
      <c r="O25" s="133">
        <v>4782888</v>
      </c>
      <c r="P25" s="409"/>
      <c r="Q25" s="134" t="e">
        <f>R25/P25</f>
        <v>#DIV/0!</v>
      </c>
      <c r="R25" s="133">
        <v>100000</v>
      </c>
      <c r="S25" s="135">
        <f>P25-5+AT25</f>
        <v>79995</v>
      </c>
      <c r="T25" s="135">
        <f>S25/N25</f>
        <v>896.50341813291493</v>
      </c>
      <c r="U25" s="136" t="s">
        <v>108</v>
      </c>
      <c r="V25" s="136" t="s">
        <v>108</v>
      </c>
      <c r="W25" s="4"/>
      <c r="X25" s="4"/>
      <c r="Y25" s="344">
        <v>3</v>
      </c>
      <c r="Z25" s="344">
        <v>2</v>
      </c>
      <c r="AB25" s="347" t="s">
        <v>107</v>
      </c>
      <c r="AC25" s="345">
        <v>2.34</v>
      </c>
      <c r="AD25" s="347" t="s">
        <v>107</v>
      </c>
      <c r="AE25" s="23">
        <v>7.8</v>
      </c>
      <c r="AF25" s="344">
        <v>3</v>
      </c>
      <c r="AG25" s="344">
        <v>2</v>
      </c>
      <c r="AI25" s="347" t="s">
        <v>107</v>
      </c>
      <c r="AJ25" s="345">
        <v>2.34</v>
      </c>
      <c r="AK25" s="347" t="s">
        <v>107</v>
      </c>
      <c r="AM25" s="110">
        <v>2</v>
      </c>
      <c r="AN25" s="347" t="s">
        <v>107</v>
      </c>
      <c r="AO25" s="133">
        <v>180000</v>
      </c>
      <c r="AP25" s="347" t="s">
        <v>107</v>
      </c>
      <c r="AQ25" s="345">
        <v>1.23</v>
      </c>
      <c r="AR25" s="347" t="s">
        <v>107</v>
      </c>
      <c r="AS25" s="345">
        <v>1.23</v>
      </c>
      <c r="AT25" s="133">
        <v>80000</v>
      </c>
      <c r="AU25" s="137">
        <v>0.1</v>
      </c>
      <c r="AV25" s="135">
        <f>P25*AU25</f>
        <v>0</v>
      </c>
      <c r="AW25" s="137">
        <v>0.1</v>
      </c>
      <c r="AX25" s="135">
        <f>AW25*P25</f>
        <v>0</v>
      </c>
      <c r="AY25" s="138">
        <v>21</v>
      </c>
      <c r="AZ25" s="135">
        <f t="shared" ref="AZ25" si="0">AX25/AY25</f>
        <v>0</v>
      </c>
      <c r="BA25" s="135">
        <f t="shared" ref="BA25" si="1">AV25+AX25</f>
        <v>0</v>
      </c>
      <c r="BB25" s="139">
        <f>1-AU25-AW25</f>
        <v>0.8</v>
      </c>
      <c r="BC25" s="135">
        <f>P25-AV25-(AY25*AZ25)</f>
        <v>0</v>
      </c>
      <c r="BD25" s="348">
        <v>45597</v>
      </c>
      <c r="BE25" s="135">
        <f>S25*BE$23</f>
        <v>2399.85</v>
      </c>
      <c r="BF25" s="135">
        <f>S25*BF$23</f>
        <v>1999.875</v>
      </c>
      <c r="BG25" s="133">
        <v>300000</v>
      </c>
      <c r="BH25" s="133">
        <v>150000</v>
      </c>
      <c r="BI25" s="135">
        <f t="shared" ref="BI25" si="2">BE25+BF25+BG25+BH25</f>
        <v>454399.72499999998</v>
      </c>
      <c r="BJ25" s="135">
        <f>BC25</f>
        <v>0</v>
      </c>
      <c r="BK25" s="349">
        <f>BD25+31</f>
        <v>45628</v>
      </c>
      <c r="BL25" s="350">
        <f>BL$23</f>
        <v>0.105</v>
      </c>
      <c r="BM25" s="351">
        <f>BM$23</f>
        <v>15</v>
      </c>
      <c r="BN25" s="135">
        <f>PMT(BL25/12,BM25*12,-BC25)</f>
        <v>0</v>
      </c>
      <c r="BO25" s="349">
        <f>'VISTAS Y USUARIOS'!BD25+('VISTAS Y USUARIOS'!BM25*365.25)</f>
        <v>51075.75</v>
      </c>
      <c r="BP25" s="135">
        <f t="shared" ref="BP25" si="3">BN25*BM25*12</f>
        <v>0</v>
      </c>
      <c r="BQ25" s="393">
        <v>40</v>
      </c>
      <c r="BR25" s="135">
        <f>M25*BQ25</f>
        <v>3520</v>
      </c>
      <c r="BS25" s="349">
        <f>BD25+31</f>
        <v>45628</v>
      </c>
      <c r="BT25" s="135">
        <f>FV(BY25,BM$23,0,-BR25)</f>
        <v>9711.7910233179773</v>
      </c>
      <c r="BU25" s="349">
        <f>'VISTAS Y USUARIOS'!BD25+('VISTAS Y USUARIOS'!BM25*365.25)</f>
        <v>51075.75</v>
      </c>
      <c r="BV25" s="135">
        <f>FV(BY25,BM$23,-BR25*12,0)</f>
        <v>1061449.8897116533</v>
      </c>
      <c r="BW25" s="130">
        <v>24500</v>
      </c>
      <c r="BX25" s="349">
        <f>'VISTAS Y USUARIOS'!BD25+62</f>
        <v>45659</v>
      </c>
      <c r="BY25" s="352">
        <f>BY$23</f>
        <v>7.0000000000000007E-2</v>
      </c>
      <c r="BZ25" s="135">
        <f>FV(BY25,BM$23,0,-BW25)</f>
        <v>67596.272747525698</v>
      </c>
      <c r="CA25" s="349">
        <f>'VISTAS Y USUARIOS'!BD25+('VISTAS Y USUARIOS'!BM25*365.25)</f>
        <v>51075.75</v>
      </c>
      <c r="CB25" s="140">
        <f>CB$23</f>
        <v>11</v>
      </c>
      <c r="CC25" s="135">
        <f>FV(BY25,BM25,-BW25*CB25,0)-(2*BW25)</f>
        <v>6723271.4317540377</v>
      </c>
      <c r="CD25" s="353">
        <f>BA25+BI25+BP25+BV25</f>
        <v>1515849.6147116534</v>
      </c>
      <c r="CE25" s="353">
        <f>CD25-CC25</f>
        <v>-5207421.8170423843</v>
      </c>
      <c r="CF25" s="353">
        <f ca="1">CE25/CJ25</f>
        <v>-31500.154331242124</v>
      </c>
      <c r="CG25" s="134" t="e">
        <f ca="1">(RATE(CJ25,-CF25,0,CM25))*12</f>
        <v>#NUM!</v>
      </c>
      <c r="CH25" s="352">
        <f>CH$23</f>
        <v>7.0000000000000007E-2</v>
      </c>
      <c r="CI25" s="354">
        <f ca="1">(BD25-TODAY()+(BM$23*365.25))</f>
        <v>5031.75</v>
      </c>
      <c r="CJ25" s="355">
        <f t="shared" ref="CJ25" ca="1" si="4">CI25/30.4375</f>
        <v>165.31416837782342</v>
      </c>
      <c r="CK25" s="355">
        <f t="shared" ref="CK25" ca="1" si="5">CJ25/12</f>
        <v>13.776180698151952</v>
      </c>
      <c r="CL25" s="355" t="str">
        <f t="shared" ref="CL25" ca="1" si="6">INT(CK25) &amp; " años y " &amp; INT((CK25-INT(CK25))*12) &amp; " meses"</f>
        <v>13 años y 9 meses</v>
      </c>
      <c r="CM25" s="135">
        <f ca="1">FV(CH25,((BD25-TODAY())/365.25)+BM$23,0,-S25)</f>
        <v>203169.76287619982</v>
      </c>
    </row>
    <row r="26" spans="1:91">
      <c r="A26" s="466"/>
      <c r="C26" s="287" t="s">
        <v>619</v>
      </c>
      <c r="D26" s="289"/>
      <c r="E26" s="288"/>
      <c r="F26" s="288"/>
      <c r="G26" s="288"/>
      <c r="H26" s="288"/>
      <c r="I26" s="98"/>
      <c r="J26" s="98"/>
      <c r="K26" s="98"/>
      <c r="L26" s="98"/>
      <c r="M26" s="98"/>
      <c r="N26" s="290"/>
      <c r="O26" s="98"/>
      <c r="P26" s="98"/>
      <c r="Q26" s="290"/>
      <c r="R26" s="98"/>
      <c r="S26" s="290"/>
      <c r="T26" s="290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290"/>
      <c r="AW26" s="98"/>
      <c r="AX26" s="290"/>
      <c r="AY26" s="98"/>
      <c r="AZ26" s="290"/>
      <c r="BA26" s="290"/>
      <c r="BB26" s="290"/>
      <c r="BC26" s="290"/>
      <c r="BD26" s="98"/>
      <c r="BE26" s="290"/>
      <c r="BF26" s="290"/>
      <c r="BG26" s="98"/>
      <c r="BH26" s="98"/>
      <c r="BI26" s="399"/>
      <c r="BJ26" s="399"/>
      <c r="BK26" s="399"/>
      <c r="BL26" s="399"/>
      <c r="BM26" s="399"/>
      <c r="BN26" s="399"/>
      <c r="BO26" s="399"/>
      <c r="BP26" s="399"/>
      <c r="BQ26" s="290"/>
      <c r="BR26" s="399"/>
      <c r="BS26" s="399"/>
      <c r="BT26" s="399"/>
      <c r="BU26" s="399"/>
      <c r="BV26" s="399"/>
      <c r="BW26" s="98"/>
      <c r="BX26" s="399"/>
      <c r="BY26" s="399"/>
      <c r="BZ26" s="399"/>
      <c r="CA26" s="399"/>
      <c r="CB26" s="399"/>
      <c r="CC26" s="399"/>
      <c r="CD26" s="399"/>
      <c r="CE26" s="399"/>
      <c r="CF26" s="399"/>
      <c r="CG26" s="399"/>
      <c r="CH26" s="399"/>
      <c r="CI26" s="399"/>
      <c r="CJ26" s="399"/>
      <c r="CK26" s="399"/>
      <c r="CL26" s="399"/>
      <c r="CM26" s="399"/>
    </row>
    <row r="27" spans="1:91">
      <c r="A27" s="466"/>
      <c r="C27" s="287" t="s">
        <v>620</v>
      </c>
      <c r="D27" s="289"/>
      <c r="E27" s="288"/>
      <c r="F27" s="288"/>
      <c r="G27" s="288"/>
      <c r="H27" s="288"/>
      <c r="I27" s="98"/>
      <c r="J27" s="98"/>
      <c r="K27" s="98"/>
      <c r="L27" s="98"/>
      <c r="M27" s="98"/>
      <c r="N27" s="290"/>
      <c r="O27" s="98"/>
      <c r="P27" s="98"/>
      <c r="Q27" s="290"/>
      <c r="R27" s="98"/>
      <c r="S27" s="290"/>
      <c r="T27" s="290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290"/>
      <c r="AW27" s="98"/>
      <c r="AX27" s="290"/>
      <c r="AY27" s="98"/>
      <c r="AZ27" s="290"/>
      <c r="BA27" s="290"/>
      <c r="BB27" s="290"/>
      <c r="BC27" s="290"/>
      <c r="BD27" s="98"/>
      <c r="BE27" s="290"/>
      <c r="BF27" s="290"/>
      <c r="BG27" s="98"/>
      <c r="BH27" s="98"/>
      <c r="BI27" s="399"/>
      <c r="BJ27" s="399"/>
      <c r="BK27" s="399"/>
      <c r="BL27" s="399"/>
      <c r="BM27" s="399"/>
      <c r="BN27" s="399"/>
      <c r="BO27" s="399"/>
      <c r="BP27" s="399"/>
      <c r="BQ27" s="290"/>
      <c r="BR27" s="399"/>
      <c r="BS27" s="399"/>
      <c r="BT27" s="399"/>
      <c r="BU27" s="399"/>
      <c r="BV27" s="399"/>
      <c r="BW27" s="98"/>
      <c r="BX27" s="399"/>
      <c r="BY27" s="399"/>
      <c r="BZ27" s="399"/>
      <c r="CA27" s="399"/>
      <c r="CB27" s="399"/>
      <c r="CC27" s="399"/>
      <c r="CD27" s="399"/>
      <c r="CE27" s="399"/>
      <c r="CF27" s="399"/>
      <c r="CG27" s="399"/>
      <c r="CH27" s="399"/>
      <c r="CI27" s="399"/>
      <c r="CJ27" s="399"/>
      <c r="CK27" s="399"/>
      <c r="CL27" s="399"/>
      <c r="CM27" s="399"/>
    </row>
    <row r="28" spans="1:91">
      <c r="A28" s="466"/>
      <c r="C28" s="287" t="s">
        <v>621</v>
      </c>
      <c r="D28" s="289"/>
      <c r="E28" s="289"/>
      <c r="F28" s="289"/>
      <c r="G28" s="289"/>
      <c r="H28" s="398"/>
      <c r="I28" s="290"/>
      <c r="J28" s="292"/>
      <c r="K28" s="292"/>
      <c r="L28" s="292"/>
      <c r="M28" s="292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2"/>
      <c r="AO28" s="292"/>
      <c r="AP28" s="290"/>
      <c r="AQ28" s="292"/>
      <c r="AR28" s="292"/>
      <c r="AS28" s="292"/>
      <c r="AT28" s="292"/>
      <c r="AU28" s="290"/>
      <c r="AV28" s="290"/>
      <c r="AW28" s="290"/>
      <c r="AX28" s="290"/>
      <c r="AY28" s="290"/>
      <c r="AZ28" s="290"/>
      <c r="BA28" s="290"/>
      <c r="BB28" s="290"/>
      <c r="BC28" s="290"/>
      <c r="BD28" s="290"/>
      <c r="BE28" s="292"/>
      <c r="BF28" s="292"/>
      <c r="BG28" s="292"/>
      <c r="BH28" s="292"/>
      <c r="BI28" s="400"/>
      <c r="BJ28" s="400"/>
      <c r="BK28" s="400"/>
      <c r="BL28" s="400"/>
      <c r="BM28" s="400"/>
      <c r="BN28" s="400"/>
      <c r="BO28" s="400"/>
      <c r="BP28" s="400"/>
      <c r="BQ28" s="292"/>
      <c r="BR28" s="400"/>
      <c r="BS28" s="400"/>
      <c r="BT28" s="400"/>
      <c r="BU28" s="400"/>
      <c r="BV28" s="400"/>
      <c r="BW28" s="292"/>
      <c r="BX28" s="400"/>
      <c r="BY28" s="400"/>
      <c r="BZ28" s="400"/>
      <c r="CA28" s="400"/>
      <c r="CB28" s="400"/>
      <c r="CC28" s="400"/>
      <c r="CD28" s="400"/>
      <c r="CE28" s="400"/>
      <c r="CF28" s="400"/>
      <c r="CG28" s="400"/>
      <c r="CH28" s="400"/>
      <c r="CI28" s="400"/>
      <c r="CJ28" s="400"/>
      <c r="CK28" s="400"/>
      <c r="CL28" s="400"/>
      <c r="CM28" s="400"/>
    </row>
    <row r="29" spans="1:91">
      <c r="A29" s="466"/>
      <c r="C29" s="287" t="s">
        <v>642</v>
      </c>
      <c r="D29" s="289"/>
      <c r="E29" s="289"/>
      <c r="F29" s="289"/>
      <c r="G29" s="289"/>
      <c r="H29" s="289"/>
      <c r="I29" s="290"/>
      <c r="J29" s="292"/>
      <c r="K29" s="292"/>
      <c r="L29" s="292"/>
      <c r="M29" s="292"/>
      <c r="N29" s="290"/>
      <c r="O29" s="290"/>
      <c r="P29" s="290"/>
      <c r="Q29" s="290"/>
      <c r="R29" s="290"/>
      <c r="S29" s="290"/>
      <c r="T29" s="290"/>
      <c r="U29" s="292"/>
      <c r="V29" s="292"/>
      <c r="W29" s="292"/>
      <c r="X29" s="292"/>
      <c r="Y29" s="290"/>
      <c r="Z29" s="290"/>
      <c r="AA29" s="292"/>
      <c r="AB29" s="292"/>
      <c r="AC29" s="292"/>
      <c r="AD29" s="292"/>
      <c r="AE29" s="292"/>
      <c r="AF29" s="290"/>
      <c r="AG29" s="290"/>
      <c r="AH29" s="292"/>
      <c r="AI29" s="292"/>
      <c r="AJ29" s="292"/>
      <c r="AK29" s="292"/>
      <c r="AL29" s="292"/>
      <c r="AM29" s="292"/>
      <c r="AN29" s="292"/>
      <c r="AO29" s="292"/>
      <c r="AP29" s="292"/>
      <c r="AQ29" s="292"/>
      <c r="AR29" s="292"/>
      <c r="AS29" s="292"/>
      <c r="AT29" s="292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399"/>
      <c r="BJ29" s="399"/>
      <c r="BK29" s="399"/>
      <c r="BL29" s="399"/>
      <c r="BM29" s="399"/>
      <c r="BN29" s="399"/>
      <c r="BO29" s="399"/>
      <c r="BP29" s="399"/>
      <c r="BQ29" s="290"/>
      <c r="BR29" s="399"/>
      <c r="BS29" s="399"/>
      <c r="BT29" s="399"/>
      <c r="BU29" s="399"/>
      <c r="BV29" s="399"/>
      <c r="BW29" s="290"/>
      <c r="BX29" s="399"/>
      <c r="BY29" s="399"/>
      <c r="BZ29" s="399"/>
      <c r="CA29" s="399"/>
      <c r="CB29" s="399"/>
      <c r="CC29" s="399"/>
      <c r="CD29" s="399"/>
      <c r="CE29" s="399"/>
      <c r="CF29" s="399"/>
      <c r="CG29" s="399"/>
      <c r="CH29" s="399"/>
      <c r="CI29" s="399"/>
      <c r="CJ29" s="399"/>
      <c r="CK29" s="399"/>
      <c r="CL29" s="399"/>
      <c r="CM29" s="399"/>
    </row>
    <row r="30" spans="1:91">
      <c r="A30" s="466"/>
      <c r="C30" s="287" t="s">
        <v>703</v>
      </c>
      <c r="D30" s="289"/>
      <c r="E30" s="289"/>
      <c r="F30" s="289"/>
      <c r="G30" s="289"/>
      <c r="H30" s="289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90"/>
      <c r="AB30" s="290"/>
      <c r="AC30" s="290"/>
      <c r="AD30" s="290"/>
      <c r="AE30" s="290"/>
      <c r="AF30" s="290"/>
      <c r="AG30" s="290"/>
      <c r="AH30" s="290"/>
      <c r="AI30" s="290"/>
      <c r="AJ30" s="290"/>
      <c r="AK30" s="290"/>
      <c r="AL30" s="290"/>
      <c r="AM30" s="290"/>
      <c r="AN30" s="290"/>
      <c r="AO30" s="290"/>
      <c r="AP30" s="290"/>
      <c r="AQ30" s="290"/>
      <c r="AR30" s="290"/>
      <c r="AS30" s="290"/>
      <c r="AT30" s="290"/>
      <c r="AU30" s="290"/>
      <c r="AV30" s="290"/>
      <c r="AW30" s="290"/>
      <c r="AX30" s="290"/>
      <c r="AY30" s="290"/>
      <c r="AZ30" s="290"/>
      <c r="BA30" s="290"/>
      <c r="BB30" s="290"/>
      <c r="BC30" s="290"/>
      <c r="BD30" s="290"/>
      <c r="BE30" s="290"/>
      <c r="BF30" s="290"/>
      <c r="BG30" s="290"/>
      <c r="BH30" s="290"/>
      <c r="BI30" s="399"/>
      <c r="BJ30" s="399"/>
      <c r="BK30" s="399"/>
      <c r="BL30" s="399"/>
      <c r="BM30" s="399"/>
      <c r="BN30" s="399"/>
      <c r="BO30" s="399"/>
      <c r="BP30" s="399"/>
      <c r="BQ30" s="290"/>
      <c r="BR30" s="399"/>
      <c r="BS30" s="399"/>
      <c r="BT30" s="399"/>
      <c r="BU30" s="399"/>
      <c r="BV30" s="399"/>
      <c r="BW30" s="290"/>
      <c r="BX30" s="399"/>
      <c r="BY30" s="399"/>
      <c r="BZ30" s="399"/>
      <c r="CA30" s="399"/>
      <c r="CB30" s="399"/>
      <c r="CC30" s="399"/>
      <c r="CD30" s="399"/>
      <c r="CE30" s="399"/>
      <c r="CF30" s="399"/>
      <c r="CG30" s="399"/>
      <c r="CH30" s="399"/>
      <c r="CI30" s="399"/>
      <c r="CJ30" s="399"/>
      <c r="CK30" s="399"/>
      <c r="CL30" s="399"/>
      <c r="CM30" s="399"/>
    </row>
    <row r="31" spans="1:91">
      <c r="A31" s="466"/>
      <c r="C31" s="287" t="s">
        <v>623</v>
      </c>
      <c r="D31" s="289"/>
      <c r="E31" s="289"/>
      <c r="F31" s="289"/>
      <c r="G31" s="289"/>
      <c r="H31" s="289"/>
      <c r="I31" s="290"/>
      <c r="J31" s="290"/>
      <c r="K31" s="98"/>
      <c r="L31" s="98"/>
      <c r="M31" s="290"/>
      <c r="N31" s="290"/>
      <c r="O31" s="98"/>
      <c r="P31" s="98"/>
      <c r="Q31" s="98"/>
      <c r="R31" s="98"/>
      <c r="S31" s="290"/>
      <c r="T31" s="290"/>
      <c r="U31" s="98"/>
      <c r="V31" s="98"/>
      <c r="W31" s="98"/>
      <c r="X31" s="98"/>
      <c r="Y31" s="290"/>
      <c r="Z31" s="290"/>
      <c r="AA31" s="290"/>
      <c r="AB31" s="290"/>
      <c r="AC31" s="290"/>
      <c r="AD31" s="290"/>
      <c r="AE31" s="290"/>
      <c r="AF31" s="290"/>
      <c r="AG31" s="290"/>
      <c r="AH31" s="290"/>
      <c r="AI31" s="290"/>
      <c r="AJ31" s="290"/>
      <c r="AK31" s="290"/>
      <c r="AL31" s="290"/>
      <c r="AM31" s="290"/>
      <c r="AN31" s="98"/>
      <c r="AO31" s="98"/>
      <c r="AP31" s="98"/>
      <c r="AQ31" s="290"/>
      <c r="AR31" s="98"/>
      <c r="AS31" s="98"/>
      <c r="AT31" s="98"/>
      <c r="AU31" s="290"/>
      <c r="AV31" s="290"/>
      <c r="AW31" s="290"/>
      <c r="AX31" s="290"/>
      <c r="AY31" s="290"/>
      <c r="AZ31" s="290"/>
      <c r="BA31" s="290"/>
      <c r="BB31" s="290"/>
      <c r="BC31" s="290"/>
      <c r="BD31" s="290"/>
      <c r="BE31" s="292"/>
      <c r="BF31" s="292"/>
      <c r="BG31" s="292"/>
      <c r="BH31" s="292"/>
      <c r="BI31" s="400"/>
      <c r="BJ31" s="400"/>
      <c r="BK31" s="400"/>
      <c r="BL31" s="400"/>
      <c r="BM31" s="400"/>
      <c r="BN31" s="400"/>
      <c r="BO31" s="400"/>
      <c r="BP31" s="400"/>
      <c r="BQ31" s="292"/>
      <c r="BR31" s="400"/>
      <c r="BS31" s="400"/>
      <c r="BT31" s="400"/>
      <c r="BU31" s="400"/>
      <c r="BV31" s="400"/>
      <c r="BW31" s="292"/>
      <c r="BX31" s="400"/>
      <c r="BY31" s="400"/>
      <c r="BZ31" s="400"/>
      <c r="CA31" s="400"/>
      <c r="CB31" s="400"/>
      <c r="CC31" s="400"/>
      <c r="CD31" s="400"/>
      <c r="CE31" s="400"/>
      <c r="CF31" s="400"/>
      <c r="CG31" s="400"/>
      <c r="CH31" s="400"/>
      <c r="CI31" s="400"/>
      <c r="CJ31" s="400"/>
      <c r="CK31" s="400"/>
      <c r="CL31" s="400"/>
      <c r="CM31" s="400"/>
    </row>
    <row r="32" spans="1:91">
      <c r="D32" s="1"/>
      <c r="H32" s="1"/>
      <c r="I32" s="1"/>
    </row>
    <row r="33" spans="1:34">
      <c r="D33" s="1"/>
      <c r="E33" s="1"/>
      <c r="F33" s="1"/>
      <c r="G33" s="1"/>
      <c r="H33" s="1"/>
      <c r="I33" s="1"/>
    </row>
    <row r="34" spans="1:34" s="356" customFormat="1" ht="110.25">
      <c r="A34" s="466" t="s">
        <v>466</v>
      </c>
      <c r="C34" s="104"/>
      <c r="D34" s="357" t="s">
        <v>136</v>
      </c>
      <c r="E34" s="358" t="s">
        <v>366</v>
      </c>
      <c r="F34" s="359" t="s">
        <v>341</v>
      </c>
      <c r="G34" s="359" t="s">
        <v>96</v>
      </c>
      <c r="H34" s="359" t="s">
        <v>97</v>
      </c>
      <c r="I34" s="359" t="s">
        <v>71</v>
      </c>
      <c r="J34" s="359" t="s">
        <v>69</v>
      </c>
      <c r="K34" s="359" t="s">
        <v>365</v>
      </c>
      <c r="L34" s="359" t="s">
        <v>364</v>
      </c>
      <c r="M34" s="359" t="s">
        <v>363</v>
      </c>
      <c r="N34" s="359" t="s">
        <v>362</v>
      </c>
      <c r="O34" s="359" t="s">
        <v>361</v>
      </c>
      <c r="P34" s="359" t="s">
        <v>2</v>
      </c>
      <c r="Q34" s="359" t="s">
        <v>450</v>
      </c>
      <c r="R34" s="359" t="s">
        <v>360</v>
      </c>
      <c r="S34" s="359" t="s">
        <v>359</v>
      </c>
      <c r="T34" s="359" t="s">
        <v>358</v>
      </c>
      <c r="U34" s="359" t="s">
        <v>357</v>
      </c>
      <c r="V34" s="359" t="s">
        <v>356</v>
      </c>
      <c r="W34" s="359" t="s">
        <v>355</v>
      </c>
      <c r="X34" s="359" t="s">
        <v>354</v>
      </c>
      <c r="Y34" s="360" t="s">
        <v>353</v>
      </c>
    </row>
    <row r="35" spans="1:34" s="356" customFormat="1">
      <c r="A35" s="466"/>
      <c r="D35" s="361" t="s">
        <v>351</v>
      </c>
      <c r="E35" s="361" t="s">
        <v>351</v>
      </c>
      <c r="F35" s="361"/>
      <c r="G35" s="361" t="s">
        <v>351</v>
      </c>
      <c r="H35" s="361" t="s">
        <v>351</v>
      </c>
      <c r="I35" s="361" t="s">
        <v>351</v>
      </c>
      <c r="J35" s="361" t="s">
        <v>351</v>
      </c>
      <c r="K35" s="361" t="s">
        <v>351</v>
      </c>
      <c r="L35" s="361" t="s">
        <v>351</v>
      </c>
      <c r="M35" s="361" t="s">
        <v>351</v>
      </c>
      <c r="N35" s="361" t="s">
        <v>351</v>
      </c>
      <c r="O35" s="361" t="s">
        <v>351</v>
      </c>
      <c r="P35" s="361" t="s">
        <v>351</v>
      </c>
      <c r="Q35" s="361"/>
      <c r="R35" s="361" t="s">
        <v>351</v>
      </c>
      <c r="S35" s="362" t="s">
        <v>350</v>
      </c>
      <c r="T35" s="362"/>
      <c r="U35" s="362"/>
      <c r="V35" s="362"/>
      <c r="W35" s="362"/>
      <c r="X35" s="362"/>
      <c r="Y35" s="362"/>
      <c r="Z35" s="1"/>
      <c r="AA35" s="1"/>
      <c r="AB35" s="1"/>
      <c r="AC35" s="1"/>
      <c r="AD35" s="1"/>
      <c r="AE35" s="1"/>
      <c r="AF35" s="1"/>
      <c r="AG35" s="1"/>
      <c r="AH35" s="1"/>
    </row>
    <row r="36" spans="1:34">
      <c r="A36" s="466"/>
      <c r="C36" s="287" t="s">
        <v>619</v>
      </c>
      <c r="D36" s="402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1"/>
      <c r="P36" s="401"/>
      <c r="Q36" s="401"/>
      <c r="R36" s="401"/>
      <c r="S36" s="401"/>
      <c r="T36" s="401"/>
      <c r="U36" s="401"/>
      <c r="V36" s="401"/>
      <c r="W36" s="401"/>
      <c r="X36" s="401"/>
      <c r="Y36" s="98"/>
    </row>
    <row r="37" spans="1:34">
      <c r="A37" s="466"/>
      <c r="C37" s="287" t="s">
        <v>621</v>
      </c>
      <c r="D37" s="402"/>
      <c r="E37" s="402"/>
      <c r="F37" s="401"/>
      <c r="G37" s="402"/>
      <c r="H37" s="402"/>
      <c r="I37" s="402"/>
      <c r="J37" s="402"/>
      <c r="K37" s="402"/>
      <c r="L37" s="401"/>
      <c r="M37" s="401"/>
      <c r="N37" s="401"/>
      <c r="O37" s="401"/>
      <c r="P37" s="401"/>
      <c r="Q37" s="401"/>
      <c r="R37" s="401"/>
      <c r="S37" s="401"/>
      <c r="T37" s="401"/>
      <c r="U37" s="401"/>
      <c r="V37" s="401"/>
      <c r="W37" s="401"/>
      <c r="X37" s="401"/>
      <c r="Y37" s="98"/>
    </row>
    <row r="38" spans="1:34">
      <c r="A38" s="466"/>
      <c r="C38" s="287" t="s">
        <v>703</v>
      </c>
      <c r="D38" s="402"/>
      <c r="E38" s="402"/>
      <c r="F38" s="402"/>
      <c r="G38" s="402"/>
      <c r="H38" s="402"/>
      <c r="I38" s="402"/>
      <c r="J38" s="402"/>
      <c r="K38" s="402"/>
      <c r="L38" s="401"/>
      <c r="M38" s="401"/>
      <c r="N38" s="401"/>
      <c r="O38" s="401"/>
      <c r="P38" s="401"/>
      <c r="Q38" s="401"/>
      <c r="R38" s="401"/>
      <c r="S38" s="402"/>
      <c r="T38" s="401"/>
      <c r="U38" s="401"/>
      <c r="V38" s="401"/>
      <c r="W38" s="401"/>
      <c r="X38" s="401"/>
      <c r="Y38" s="98"/>
    </row>
    <row r="39" spans="1:34">
      <c r="D39" s="363"/>
      <c r="E39" s="363"/>
      <c r="F39" s="363"/>
      <c r="G39" s="363"/>
      <c r="H39" s="363"/>
      <c r="I39" s="363"/>
      <c r="J39" s="363"/>
      <c r="K39" s="363"/>
      <c r="L39" s="363"/>
      <c r="M39" s="363"/>
      <c r="N39" s="363"/>
      <c r="O39" s="363"/>
      <c r="P39" s="363"/>
      <c r="Q39" s="363"/>
      <c r="R39" s="363"/>
      <c r="S39" s="363"/>
      <c r="T39" s="363"/>
      <c r="U39" s="363"/>
      <c r="V39" s="363"/>
      <c r="W39" s="363"/>
      <c r="X39" s="363"/>
    </row>
    <row r="40" spans="1:34">
      <c r="D40" s="363"/>
      <c r="E40" s="363"/>
      <c r="F40" s="363"/>
      <c r="G40" s="363"/>
      <c r="H40" s="363"/>
      <c r="I40" s="363"/>
      <c r="J40" s="363"/>
      <c r="K40" s="363"/>
      <c r="L40" s="363"/>
      <c r="M40" s="363"/>
      <c r="N40" s="363"/>
      <c r="O40" s="363"/>
      <c r="P40" s="363"/>
      <c r="Q40" s="363"/>
      <c r="R40" s="363"/>
      <c r="S40" s="363"/>
      <c r="T40" s="363"/>
      <c r="U40" s="363"/>
      <c r="V40" s="363"/>
      <c r="W40" s="363"/>
      <c r="X40" s="363"/>
      <c r="Y40" s="363"/>
    </row>
    <row r="41" spans="1:34" ht="105.75">
      <c r="A41" s="466" t="s">
        <v>663</v>
      </c>
      <c r="B41" s="356"/>
      <c r="C41" s="104"/>
      <c r="D41" s="357" t="s">
        <v>136</v>
      </c>
      <c r="E41" s="358" t="s">
        <v>366</v>
      </c>
      <c r="F41" s="359" t="s">
        <v>341</v>
      </c>
      <c r="G41" s="359" t="s">
        <v>364</v>
      </c>
      <c r="H41" s="359" t="s">
        <v>363</v>
      </c>
      <c r="I41" s="359" t="s">
        <v>362</v>
      </c>
      <c r="J41" s="359" t="s">
        <v>361</v>
      </c>
      <c r="K41" s="359" t="s">
        <v>71</v>
      </c>
      <c r="L41" s="359" t="s">
        <v>69</v>
      </c>
      <c r="M41" s="359" t="s">
        <v>365</v>
      </c>
      <c r="N41" s="359" t="s">
        <v>130</v>
      </c>
      <c r="O41" s="359" t="s">
        <v>746</v>
      </c>
      <c r="P41" s="359" t="s">
        <v>136</v>
      </c>
      <c r="Q41" s="359" t="s">
        <v>747</v>
      </c>
      <c r="R41" s="360" t="s">
        <v>136</v>
      </c>
    </row>
    <row r="42" spans="1:34">
      <c r="A42" s="466"/>
      <c r="B42" s="356"/>
      <c r="C42" s="356"/>
      <c r="D42" s="361" t="s">
        <v>351</v>
      </c>
      <c r="E42" s="361" t="s">
        <v>351</v>
      </c>
      <c r="F42" s="361"/>
      <c r="G42" s="361" t="s">
        <v>351</v>
      </c>
      <c r="H42" s="361" t="s">
        <v>351</v>
      </c>
      <c r="I42" s="361" t="s">
        <v>351</v>
      </c>
      <c r="J42" s="361" t="s">
        <v>351</v>
      </c>
      <c r="K42" s="361" t="s">
        <v>351</v>
      </c>
      <c r="L42" s="361" t="s">
        <v>351</v>
      </c>
      <c r="M42" s="361" t="s">
        <v>351</v>
      </c>
      <c r="N42" s="362"/>
      <c r="O42" s="362"/>
      <c r="P42" s="362"/>
      <c r="Q42" s="362"/>
      <c r="R42" s="362"/>
    </row>
    <row r="43" spans="1:34">
      <c r="A43" s="466"/>
      <c r="C43" s="287" t="s">
        <v>619</v>
      </c>
      <c r="D43" s="402"/>
      <c r="E43" s="402"/>
      <c r="F43" s="401"/>
      <c r="G43" s="401"/>
      <c r="H43" s="401"/>
      <c r="I43" s="401"/>
      <c r="J43" s="401"/>
      <c r="K43" s="401"/>
      <c r="L43" s="401"/>
      <c r="M43" s="401"/>
      <c r="N43" s="401"/>
      <c r="O43" s="401"/>
      <c r="P43" s="401"/>
      <c r="Q43" s="401"/>
      <c r="R43" s="98"/>
    </row>
    <row r="44" spans="1:34">
      <c r="A44" s="466"/>
      <c r="C44" s="287" t="s">
        <v>642</v>
      </c>
      <c r="D44" s="402"/>
      <c r="E44" s="402"/>
      <c r="F44" s="402"/>
      <c r="G44" s="402"/>
      <c r="H44" s="402"/>
      <c r="I44" s="403"/>
      <c r="J44" s="403"/>
      <c r="K44" s="402"/>
      <c r="L44" s="402"/>
      <c r="M44" s="402"/>
      <c r="N44" s="402"/>
      <c r="O44" s="402"/>
      <c r="P44" s="402"/>
      <c r="Q44" s="402"/>
      <c r="R44" s="290"/>
    </row>
    <row r="45" spans="1:34">
      <c r="A45" s="466"/>
      <c r="C45" s="287" t="s">
        <v>703</v>
      </c>
      <c r="D45" s="402"/>
      <c r="E45" s="402"/>
      <c r="F45" s="402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98"/>
    </row>
    <row r="46" spans="1:34">
      <c r="A46" s="466"/>
      <c r="C46" s="287" t="s">
        <v>623</v>
      </c>
      <c r="D46" s="402"/>
      <c r="E46" s="402"/>
      <c r="F46" s="402"/>
      <c r="G46" s="402"/>
      <c r="H46" s="402"/>
      <c r="I46" s="403"/>
      <c r="J46" s="403"/>
      <c r="K46" s="402"/>
      <c r="L46" s="402"/>
      <c r="M46" s="402"/>
      <c r="N46" s="402"/>
      <c r="O46" s="402"/>
      <c r="P46" s="402"/>
      <c r="Q46" s="402"/>
      <c r="R46" s="290"/>
    </row>
    <row r="47" spans="1:34">
      <c r="C47" s="363"/>
      <c r="D47" s="363"/>
      <c r="E47" s="363"/>
      <c r="F47" s="363"/>
      <c r="G47" s="363"/>
      <c r="H47" s="363"/>
      <c r="I47" s="363"/>
      <c r="J47" s="363"/>
      <c r="K47" s="363"/>
      <c r="L47" s="363"/>
      <c r="M47" s="363"/>
      <c r="N47" s="363"/>
      <c r="O47" s="363"/>
      <c r="P47" s="363"/>
      <c r="Q47" s="363"/>
      <c r="R47" s="363"/>
      <c r="S47" s="363"/>
      <c r="T47" s="363"/>
      <c r="U47" s="363"/>
      <c r="V47" s="363"/>
      <c r="W47" s="363"/>
      <c r="X47" s="363"/>
      <c r="Y47" s="363"/>
    </row>
    <row r="48" spans="1:34">
      <c r="C48" s="363"/>
      <c r="D48" s="363"/>
      <c r="E48" s="363"/>
      <c r="F48" s="363"/>
      <c r="G48" s="363"/>
      <c r="H48" s="363"/>
      <c r="I48" s="363"/>
      <c r="J48" s="363"/>
      <c r="K48" s="363"/>
      <c r="L48" s="363"/>
      <c r="M48" s="363"/>
      <c r="N48" s="363"/>
      <c r="O48" s="363"/>
      <c r="P48" s="363"/>
      <c r="Q48" s="363"/>
      <c r="R48" s="363"/>
      <c r="S48" s="363"/>
      <c r="T48" s="363"/>
      <c r="U48" s="363"/>
      <c r="V48" s="363"/>
      <c r="W48" s="363"/>
      <c r="X48" s="363"/>
      <c r="Y48" s="363"/>
    </row>
    <row r="49" spans="3:25">
      <c r="C49" s="363"/>
      <c r="D49" s="363"/>
      <c r="E49" s="363"/>
      <c r="F49" s="363"/>
      <c r="G49" s="363"/>
      <c r="H49" s="363"/>
      <c r="I49" s="363"/>
      <c r="J49" s="363"/>
      <c r="K49" s="363"/>
      <c r="L49" s="363"/>
      <c r="M49" s="363"/>
      <c r="N49" s="363"/>
      <c r="O49" s="363"/>
      <c r="P49" s="363"/>
      <c r="Q49" s="363"/>
      <c r="R49" s="363"/>
      <c r="S49" s="363"/>
      <c r="T49" s="363"/>
      <c r="U49" s="363"/>
      <c r="V49" s="363"/>
      <c r="W49" s="363"/>
      <c r="X49" s="363"/>
      <c r="Y49" s="363"/>
    </row>
    <row r="50" spans="3:25">
      <c r="C50" s="363"/>
      <c r="D50" s="363"/>
      <c r="E50" s="363"/>
      <c r="F50" s="363"/>
      <c r="G50" s="363"/>
      <c r="H50" s="363"/>
      <c r="I50" s="363"/>
      <c r="J50" s="363"/>
      <c r="K50" s="363"/>
      <c r="L50" s="363"/>
      <c r="M50" s="363"/>
      <c r="N50" s="363"/>
      <c r="O50" s="363"/>
      <c r="P50" s="363"/>
      <c r="Q50" s="363"/>
      <c r="R50" s="363"/>
      <c r="S50" s="363"/>
      <c r="T50" s="363"/>
      <c r="U50" s="363"/>
      <c r="V50" s="363"/>
      <c r="W50" s="363"/>
      <c r="X50" s="363"/>
      <c r="Y50" s="363"/>
    </row>
    <row r="51" spans="3:25">
      <c r="C51" s="363"/>
      <c r="D51" s="363"/>
      <c r="E51" s="363"/>
      <c r="F51" s="363"/>
      <c r="G51" s="363"/>
      <c r="H51" s="363"/>
      <c r="I51" s="363"/>
      <c r="J51" s="363"/>
      <c r="K51" s="363"/>
      <c r="L51" s="363"/>
      <c r="M51" s="363"/>
      <c r="N51" s="363"/>
      <c r="O51" s="363"/>
      <c r="P51" s="363"/>
      <c r="Q51" s="363"/>
      <c r="R51" s="363"/>
      <c r="S51" s="363"/>
      <c r="T51" s="363"/>
      <c r="U51" s="363"/>
      <c r="V51" s="363"/>
      <c r="W51" s="363"/>
      <c r="X51" s="363"/>
      <c r="Y51" s="363"/>
    </row>
    <row r="52" spans="3:25">
      <c r="C52" s="363"/>
      <c r="D52" s="363"/>
      <c r="E52" s="363"/>
      <c r="F52" s="363"/>
      <c r="G52" s="363"/>
      <c r="H52" s="363"/>
      <c r="I52" s="363"/>
      <c r="J52" s="363"/>
      <c r="K52" s="363"/>
      <c r="L52" s="363"/>
      <c r="M52" s="363"/>
      <c r="N52" s="363"/>
      <c r="O52" s="363"/>
      <c r="P52" s="363"/>
      <c r="Q52" s="363"/>
      <c r="R52" s="363"/>
      <c r="S52" s="363"/>
      <c r="T52" s="363"/>
      <c r="U52" s="363"/>
      <c r="V52" s="363"/>
      <c r="W52" s="363"/>
      <c r="X52" s="363"/>
      <c r="Y52" s="363"/>
    </row>
    <row r="53" spans="3:25">
      <c r="C53" s="363"/>
      <c r="D53" s="363"/>
      <c r="E53" s="363"/>
      <c r="F53" s="363"/>
      <c r="G53" s="363"/>
      <c r="H53" s="363"/>
      <c r="I53" s="363"/>
      <c r="J53" s="363"/>
      <c r="K53" s="363"/>
      <c r="L53" s="363"/>
      <c r="M53" s="363"/>
      <c r="N53" s="363"/>
      <c r="O53" s="363"/>
      <c r="P53" s="363"/>
      <c r="Q53" s="363"/>
      <c r="R53" s="363"/>
      <c r="S53" s="363"/>
      <c r="T53" s="363"/>
      <c r="U53" s="363"/>
      <c r="V53" s="363"/>
      <c r="W53" s="363"/>
      <c r="X53" s="363"/>
      <c r="Y53" s="363"/>
    </row>
    <row r="54" spans="3:25"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63"/>
      <c r="P54" s="363"/>
      <c r="Q54" s="363"/>
      <c r="R54" s="363"/>
      <c r="S54" s="363"/>
      <c r="T54" s="363"/>
      <c r="U54" s="363"/>
      <c r="V54" s="363"/>
      <c r="W54" s="363"/>
      <c r="X54" s="363"/>
      <c r="Y54" s="363"/>
    </row>
    <row r="55" spans="3:25"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63"/>
      <c r="P55" s="363"/>
      <c r="Q55" s="363"/>
      <c r="R55" s="363"/>
      <c r="S55" s="363"/>
      <c r="T55" s="363"/>
      <c r="U55" s="363"/>
      <c r="V55" s="363"/>
      <c r="W55" s="363"/>
      <c r="X55" s="363"/>
      <c r="Y55" s="363"/>
    </row>
    <row r="56" spans="3:25"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</row>
    <row r="57" spans="3:25"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</row>
    <row r="58" spans="3:25">
      <c r="C58" s="363"/>
      <c r="D58" s="363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</row>
    <row r="59" spans="3:25"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63"/>
      <c r="P59" s="363"/>
      <c r="Q59" s="363"/>
      <c r="R59" s="363"/>
      <c r="S59" s="363"/>
      <c r="T59" s="363"/>
      <c r="U59" s="363"/>
      <c r="V59" s="363"/>
      <c r="W59" s="363"/>
      <c r="X59" s="363"/>
      <c r="Y59" s="363"/>
    </row>
    <row r="60" spans="3:25"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63"/>
      <c r="P60" s="363"/>
      <c r="Q60" s="363"/>
      <c r="R60" s="363"/>
      <c r="S60" s="363"/>
      <c r="T60" s="363"/>
      <c r="U60" s="363"/>
      <c r="V60" s="363"/>
      <c r="W60" s="363"/>
      <c r="X60" s="363"/>
      <c r="Y60" s="363"/>
    </row>
    <row r="61" spans="3:25"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</row>
    <row r="62" spans="3:25">
      <c r="C62" s="363"/>
      <c r="D62" s="363"/>
      <c r="E62" s="363"/>
      <c r="F62" s="363"/>
      <c r="G62" s="363"/>
      <c r="H62" s="363"/>
      <c r="I62" s="363"/>
      <c r="J62" s="363"/>
      <c r="K62" s="363"/>
      <c r="L62" s="363"/>
      <c r="M62" s="363"/>
      <c r="N62" s="363"/>
      <c r="O62" s="363"/>
      <c r="P62" s="363"/>
      <c r="Q62" s="363"/>
      <c r="R62" s="363"/>
      <c r="S62" s="363"/>
      <c r="T62" s="363"/>
      <c r="U62" s="363"/>
      <c r="V62" s="363"/>
      <c r="W62" s="363"/>
      <c r="X62" s="363"/>
      <c r="Y62" s="363"/>
    </row>
    <row r="63" spans="3:25">
      <c r="C63" s="340" t="s">
        <v>158</v>
      </c>
      <c r="D63" s="363"/>
      <c r="E63" s="363"/>
      <c r="F63" s="363"/>
      <c r="G63" s="363"/>
      <c r="H63" s="363"/>
      <c r="I63" s="363"/>
      <c r="J63" s="363"/>
      <c r="K63" s="363"/>
      <c r="L63" s="363"/>
      <c r="M63" s="363"/>
      <c r="N63" s="363"/>
      <c r="O63" s="363"/>
      <c r="P63" s="363"/>
      <c r="Q63" s="363"/>
      <c r="R63" s="363"/>
      <c r="S63" s="363"/>
      <c r="T63" s="363"/>
      <c r="U63" s="363"/>
      <c r="V63" s="363"/>
      <c r="W63" s="363"/>
      <c r="X63" s="363"/>
      <c r="Y63" s="363"/>
    </row>
    <row r="64" spans="3:25">
      <c r="C64" s="15" t="s">
        <v>347</v>
      </c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63"/>
      <c r="P64" s="363"/>
      <c r="Q64" s="363"/>
      <c r="R64" s="363"/>
      <c r="S64" s="363"/>
      <c r="T64" s="363"/>
      <c r="U64" s="363"/>
      <c r="V64" s="363"/>
      <c r="W64" s="363"/>
      <c r="X64" s="363"/>
      <c r="Y64" s="363"/>
    </row>
    <row r="65" spans="3:25">
      <c r="C65" s="15" t="s">
        <v>459</v>
      </c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63"/>
      <c r="P65" s="363"/>
      <c r="Q65" s="363"/>
      <c r="R65" s="363"/>
      <c r="S65" s="363"/>
      <c r="T65" s="363"/>
      <c r="U65" s="363"/>
      <c r="V65" s="363"/>
      <c r="W65" s="363"/>
      <c r="X65" s="363"/>
      <c r="Y65" s="363"/>
    </row>
    <row r="66" spans="3:25">
      <c r="C66" s="15" t="s">
        <v>460</v>
      </c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</row>
    <row r="67" spans="3:25">
      <c r="C67" s="15" t="s">
        <v>458</v>
      </c>
      <c r="D67" s="363"/>
      <c r="E67" s="363"/>
      <c r="F67" s="363"/>
      <c r="G67" s="363"/>
      <c r="H67" s="363"/>
      <c r="I67" s="363"/>
      <c r="J67" s="363"/>
      <c r="K67" s="363"/>
      <c r="L67" s="363"/>
      <c r="M67" s="363"/>
      <c r="N67" s="363"/>
      <c r="O67" s="363"/>
      <c r="P67" s="363"/>
      <c r="Q67" s="363"/>
      <c r="R67" s="363"/>
      <c r="S67" s="363"/>
      <c r="T67" s="363"/>
      <c r="U67" s="363"/>
      <c r="V67" s="363"/>
      <c r="W67" s="363"/>
      <c r="X67" s="363"/>
      <c r="Y67" s="363"/>
    </row>
    <row r="68" spans="3:25"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63"/>
      <c r="P68" s="363"/>
      <c r="Q68" s="363"/>
      <c r="R68" s="363"/>
      <c r="S68" s="363"/>
      <c r="T68" s="363"/>
      <c r="U68" s="363"/>
      <c r="V68" s="363"/>
      <c r="W68" s="363"/>
      <c r="X68" s="363"/>
      <c r="Y68" s="363"/>
    </row>
    <row r="69" spans="3:25">
      <c r="C69" s="340" t="s">
        <v>461</v>
      </c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63"/>
      <c r="P69" s="363"/>
      <c r="Q69" s="363"/>
      <c r="R69" s="363"/>
      <c r="S69" s="363"/>
      <c r="T69" s="363"/>
      <c r="U69" s="363"/>
      <c r="V69" s="363"/>
      <c r="W69" s="363"/>
      <c r="X69" s="363"/>
      <c r="Y69" s="363"/>
    </row>
    <row r="70" spans="3:25">
      <c r="C70" s="15" t="s">
        <v>347</v>
      </c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</row>
    <row r="71" spans="3:25">
      <c r="C71" s="15" t="s">
        <v>459</v>
      </c>
      <c r="D71" s="363"/>
      <c r="E71" s="363"/>
      <c r="F71" s="363"/>
      <c r="G71" s="363"/>
      <c r="H71" s="363"/>
      <c r="I71" s="363"/>
      <c r="J71" s="363"/>
      <c r="K71" s="363"/>
      <c r="L71" s="363"/>
      <c r="M71" s="363"/>
      <c r="N71" s="363"/>
      <c r="O71" s="363"/>
      <c r="P71" s="363"/>
      <c r="Q71" s="363"/>
      <c r="R71" s="363"/>
      <c r="S71" s="363"/>
      <c r="T71" s="363"/>
      <c r="U71" s="363"/>
      <c r="V71" s="363"/>
      <c r="W71" s="363"/>
      <c r="X71" s="363"/>
      <c r="Y71" s="363"/>
    </row>
    <row r="72" spans="3:25">
      <c r="C72" s="15" t="s">
        <v>460</v>
      </c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63"/>
      <c r="P72" s="363"/>
      <c r="Q72" s="363"/>
      <c r="R72" s="363"/>
      <c r="S72" s="363"/>
      <c r="T72" s="363"/>
      <c r="U72" s="363"/>
      <c r="V72" s="363"/>
      <c r="W72" s="363"/>
      <c r="X72" s="363"/>
      <c r="Y72" s="363"/>
    </row>
    <row r="73" spans="3:25">
      <c r="C73" s="15" t="s">
        <v>458</v>
      </c>
      <c r="D73" s="363"/>
      <c r="E73" s="363"/>
      <c r="F73" s="363"/>
      <c r="G73" s="363"/>
      <c r="H73" s="363"/>
      <c r="I73" s="363"/>
      <c r="Q73" s="363"/>
      <c r="R73" s="363"/>
      <c r="S73" s="363"/>
      <c r="T73" s="363"/>
      <c r="U73" s="363"/>
      <c r="V73" s="363"/>
      <c r="W73" s="363"/>
      <c r="X73" s="363"/>
      <c r="Y73" s="363"/>
    </row>
    <row r="74" spans="3:25">
      <c r="C74" s="363"/>
      <c r="D74" s="363"/>
      <c r="E74" s="363"/>
      <c r="F74" s="363"/>
      <c r="G74" s="363"/>
      <c r="H74" s="363"/>
      <c r="I74" s="363"/>
      <c r="Q74" s="363"/>
      <c r="R74" s="363"/>
      <c r="S74" s="363"/>
      <c r="T74" s="363"/>
      <c r="U74" s="363"/>
      <c r="V74" s="363"/>
      <c r="W74" s="363"/>
      <c r="X74" s="363"/>
      <c r="Y74" s="363"/>
    </row>
    <row r="75" spans="3:25" ht="14.45" customHeight="1">
      <c r="C75" s="340" t="s">
        <v>725</v>
      </c>
      <c r="D75" s="363"/>
      <c r="E75" s="363"/>
      <c r="F75" s="363"/>
      <c r="G75" s="363"/>
      <c r="H75" s="363"/>
      <c r="I75" s="363"/>
      <c r="Q75" s="363"/>
      <c r="R75" s="363"/>
      <c r="S75" s="363"/>
      <c r="T75" s="363"/>
      <c r="U75" s="363"/>
      <c r="V75" s="363"/>
      <c r="W75" s="363"/>
      <c r="X75" s="363"/>
      <c r="Y75" s="363"/>
    </row>
    <row r="76" spans="3:25" ht="14.45" customHeight="1">
      <c r="C76" s="15" t="s">
        <v>347</v>
      </c>
      <c r="D76" s="363"/>
      <c r="E76" s="363"/>
      <c r="F76" s="363"/>
      <c r="G76" s="363"/>
      <c r="H76" s="363"/>
      <c r="I76" s="363"/>
      <c r="Q76" s="363"/>
      <c r="R76" s="363"/>
      <c r="S76" s="363"/>
      <c r="T76" s="363"/>
      <c r="U76" s="363"/>
      <c r="V76" s="363"/>
      <c r="W76" s="363"/>
      <c r="X76" s="363"/>
      <c r="Y76" s="363"/>
    </row>
    <row r="77" spans="3:25" ht="14.45" customHeight="1">
      <c r="C77" s="15" t="s">
        <v>459</v>
      </c>
      <c r="D77" s="363"/>
      <c r="E77" s="363"/>
      <c r="F77" s="363"/>
      <c r="G77" s="363"/>
      <c r="H77" s="363"/>
      <c r="I77" s="363"/>
      <c r="Q77" s="363"/>
      <c r="R77" s="363"/>
      <c r="S77" s="363"/>
      <c r="T77" s="363"/>
      <c r="U77" s="363"/>
      <c r="V77" s="363"/>
      <c r="W77" s="363"/>
      <c r="X77" s="363"/>
      <c r="Y77" s="363"/>
    </row>
    <row r="78" spans="3:25" ht="14.45" customHeight="1">
      <c r="C78" s="15" t="s">
        <v>460</v>
      </c>
      <c r="D78" s="363"/>
      <c r="E78" s="363"/>
      <c r="F78" s="363"/>
      <c r="G78" s="363"/>
      <c r="H78" s="363"/>
      <c r="I78" s="363"/>
      <c r="Q78" s="363"/>
      <c r="R78" s="363"/>
      <c r="S78" s="363"/>
      <c r="T78" s="363"/>
      <c r="U78" s="363"/>
      <c r="V78" s="363"/>
      <c r="W78" s="363"/>
      <c r="X78" s="363"/>
      <c r="Y78" s="363"/>
    </row>
    <row r="79" spans="3:25" ht="14.45" customHeight="1">
      <c r="C79" s="15" t="s">
        <v>458</v>
      </c>
      <c r="D79" s="363"/>
      <c r="E79" s="363"/>
      <c r="F79" s="363"/>
      <c r="G79" s="363"/>
      <c r="H79" s="363"/>
      <c r="I79" s="363"/>
      <c r="Q79" s="363"/>
      <c r="R79" s="363"/>
      <c r="S79" s="363"/>
      <c r="T79" s="363"/>
      <c r="U79" s="363"/>
      <c r="V79" s="363"/>
      <c r="W79" s="363"/>
      <c r="X79" s="363"/>
      <c r="Y79" s="363"/>
    </row>
    <row r="80" spans="3:25">
      <c r="C80" s="363"/>
      <c r="I80" s="1"/>
    </row>
    <row r="81" spans="1:3">
      <c r="C81" s="340" t="s">
        <v>466</v>
      </c>
    </row>
    <row r="82" spans="1:3">
      <c r="C82" s="15" t="s">
        <v>347</v>
      </c>
    </row>
    <row r="83" spans="1:3">
      <c r="C83" s="15" t="s">
        <v>459</v>
      </c>
    </row>
    <row r="84" spans="1:3">
      <c r="C84" s="15" t="s">
        <v>460</v>
      </c>
    </row>
    <row r="85" spans="1:3">
      <c r="C85" s="15" t="s">
        <v>458</v>
      </c>
    </row>
    <row r="88" spans="1:3">
      <c r="A88" s="363" t="s">
        <v>340</v>
      </c>
    </row>
    <row r="89" spans="1:3">
      <c r="A89" s="363" t="s">
        <v>467</v>
      </c>
    </row>
  </sheetData>
  <mergeCells count="75">
    <mergeCell ref="A41:A46"/>
    <mergeCell ref="AM23:AO23"/>
    <mergeCell ref="V24:W24"/>
    <mergeCell ref="AN24:AO24"/>
    <mergeCell ref="AK24:AL24"/>
    <mergeCell ref="AI24:AJ24"/>
    <mergeCell ref="AD24:AE24"/>
    <mergeCell ref="AB24:AC24"/>
    <mergeCell ref="X23:AL23"/>
    <mergeCell ref="CI23:CM23"/>
    <mergeCell ref="BB24:BC24"/>
    <mergeCell ref="BN23:BP23"/>
    <mergeCell ref="AU23:BC23"/>
    <mergeCell ref="BD23:BD24"/>
    <mergeCell ref="AP23:AT23"/>
    <mergeCell ref="BW23:BX23"/>
    <mergeCell ref="A3:A10"/>
    <mergeCell ref="J23:L23"/>
    <mergeCell ref="D23:D24"/>
    <mergeCell ref="E23:E24"/>
    <mergeCell ref="M13:M14"/>
    <mergeCell ref="D3:D4"/>
    <mergeCell ref="F3:F4"/>
    <mergeCell ref="R3:R4"/>
    <mergeCell ref="G3:G4"/>
    <mergeCell ref="H3:H4"/>
    <mergeCell ref="I3:I4"/>
    <mergeCell ref="J3:J4"/>
    <mergeCell ref="M3:M4"/>
    <mergeCell ref="BQ23:BV23"/>
    <mergeCell ref="U13:U14"/>
    <mergeCell ref="K3:L4"/>
    <mergeCell ref="N3:N4"/>
    <mergeCell ref="O3:Q3"/>
    <mergeCell ref="F13:F14"/>
    <mergeCell ref="G13:G14"/>
    <mergeCell ref="H13:H14"/>
    <mergeCell ref="I13:I14"/>
    <mergeCell ref="J13:J14"/>
    <mergeCell ref="K13:K14"/>
    <mergeCell ref="L13:L14"/>
    <mergeCell ref="N13:N14"/>
    <mergeCell ref="O13:O14"/>
    <mergeCell ref="P13:P14"/>
    <mergeCell ref="Q13:Q14"/>
    <mergeCell ref="AE14:AF14"/>
    <mergeCell ref="BE13:BE14"/>
    <mergeCell ref="AG13:AG14"/>
    <mergeCell ref="AH13:AH14"/>
    <mergeCell ref="Y13:AF13"/>
    <mergeCell ref="AY13:BA13"/>
    <mergeCell ref="BB13:BD13"/>
    <mergeCell ref="AW13:AX13"/>
    <mergeCell ref="AU13:AV13"/>
    <mergeCell ref="A13:A20"/>
    <mergeCell ref="CD23:CG23"/>
    <mergeCell ref="A23:A31"/>
    <mergeCell ref="A34:A38"/>
    <mergeCell ref="D13:D14"/>
    <mergeCell ref="E13:E14"/>
    <mergeCell ref="S13:T13"/>
    <mergeCell ref="X13:X14"/>
    <mergeCell ref="BI13:BI14"/>
    <mergeCell ref="Y14:Z14"/>
    <mergeCell ref="AA14:AB14"/>
    <mergeCell ref="R13:R14"/>
    <mergeCell ref="BF13:BF14"/>
    <mergeCell ref="BG13:BG14"/>
    <mergeCell ref="BH13:BH14"/>
    <mergeCell ref="AC14:AD14"/>
    <mergeCell ref="AR13:AT13"/>
    <mergeCell ref="AO13:AQ13"/>
    <mergeCell ref="AL13:AN13"/>
    <mergeCell ref="AI13:AK13"/>
    <mergeCell ref="V13:W13"/>
  </mergeCells>
  <conditionalFormatting sqref="E25">
    <cfRule type="containsText" dxfId="33" priority="44" operator="containsText" text="No">
      <formula>NOT(ISERROR(SEARCH("No",E25)))</formula>
    </cfRule>
  </conditionalFormatting>
  <conditionalFormatting sqref="N41">
    <cfRule type="cellIs" dxfId="32" priority="6" operator="equal">
      <formula>"1 ENVIO DE INFO"</formula>
    </cfRule>
    <cfRule type="cellIs" dxfId="31" priority="7" operator="equal">
      <formula>"2 MUESTRA INTERÉS"</formula>
    </cfRule>
    <cfRule type="cellIs" dxfId="30" priority="8" operator="equal">
      <formula>"3 PRESENTACIÓN"</formula>
    </cfRule>
    <cfRule type="cellIs" dxfId="29" priority="9" operator="equal">
      <formula>"4 EVALUANDO"</formula>
    </cfRule>
    <cfRule type="cellIs" dxfId="28" priority="10" operator="equal">
      <formula>"5 NEGOCIACIÓN"</formula>
    </cfRule>
    <cfRule type="cellIs" dxfId="27" priority="11" operator="equal">
      <formula>"6 LISTO PARA CIERRE"</formula>
    </cfRule>
    <cfRule type="cellIs" dxfId="26" priority="12" operator="equal">
      <formula>"7 CIERRE GANADO"</formula>
    </cfRule>
    <cfRule type="cellIs" dxfId="25" priority="13" operator="equal">
      <formula>"8 CIERRE PERDIDO"</formula>
    </cfRule>
    <cfRule type="cellIs" dxfId="24" priority="14" operator="equal">
      <formula>"9 NO LE INTERESÓ"</formula>
    </cfRule>
  </conditionalFormatting>
  <conditionalFormatting sqref="Q25:R25">
    <cfRule type="expression" dxfId="23" priority="48">
      <formula>#REF!="No"</formula>
    </cfRule>
  </conditionalFormatting>
  <conditionalFormatting sqref="T34">
    <cfRule type="cellIs" dxfId="22" priority="22" operator="equal">
      <formula>"ACTIVO"</formula>
    </cfRule>
    <cfRule type="cellIs" dxfId="21" priority="23" operator="equal">
      <formula>"EN HOLD"</formula>
    </cfRule>
    <cfRule type="cellIs" dxfId="20" priority="24" operator="equal">
      <formula>"NO ACTIVO"</formula>
    </cfRule>
    <cfRule type="cellIs" dxfId="19" priority="34" operator="equal">
      <formula>"NO PRESUPUESTO"</formula>
    </cfRule>
    <cfRule type="cellIs" dxfId="18" priority="35" operator="equal">
      <formula>"NO CONTESTÓ"</formula>
    </cfRule>
    <cfRule type="cellIs" dxfId="17" priority="36" operator="equal">
      <formula>"ENTREGA INMEDIATA"</formula>
    </cfRule>
  </conditionalFormatting>
  <conditionalFormatting sqref="U25">
    <cfRule type="containsText" dxfId="16" priority="46" operator="containsText" text="sI">
      <formula>NOT(ISERROR(SEARCH("sI",U25)))</formula>
    </cfRule>
  </conditionalFormatting>
  <conditionalFormatting sqref="U34">
    <cfRule type="cellIs" dxfId="15" priority="27" operator="equal">
      <formula>"3 PRESENTACIÓN"</formula>
    </cfRule>
    <cfRule type="cellIs" dxfId="14" priority="28" operator="equal">
      <formula>"4 EVALUANDO"</formula>
    </cfRule>
    <cfRule type="cellIs" dxfId="13" priority="25" operator="equal">
      <formula>"1 ENVIO DE INFO"</formula>
    </cfRule>
    <cfRule type="cellIs" dxfId="12" priority="26" operator="equal">
      <formula>"2 MUESTRA INTERÉS"</formula>
    </cfRule>
    <cfRule type="cellIs" dxfId="11" priority="29" operator="equal">
      <formula>"5 NEGOCIACIÓN"</formula>
    </cfRule>
    <cfRule type="cellIs" dxfId="10" priority="30" operator="equal">
      <formula>"6 LISTO PARA CIERRE"</formula>
    </cfRule>
    <cfRule type="cellIs" dxfId="9" priority="31" operator="equal">
      <formula>"7 CIERRE GANADO"</formula>
    </cfRule>
    <cfRule type="cellIs" dxfId="8" priority="32" operator="equal">
      <formula>"8 CIERRE PERDIDO"</formula>
    </cfRule>
    <cfRule type="cellIs" dxfId="7" priority="33" operator="equal">
      <formula>"9 NO LE INTERESÓ"</formula>
    </cfRule>
  </conditionalFormatting>
  <conditionalFormatting sqref="U25:V25">
    <cfRule type="containsText" dxfId="6" priority="49" operator="containsText" text="Si">
      <formula>NOT(ISERROR(SEARCH("Si",U25)))</formula>
    </cfRule>
  </conditionalFormatting>
  <conditionalFormatting sqref="V25">
    <cfRule type="containsText" dxfId="5" priority="45" operator="containsText" text="Si">
      <formula>NOT(ISERROR(SEARCH("Si",V25)))</formula>
    </cfRule>
  </conditionalFormatting>
  <conditionalFormatting sqref="AC25">
    <cfRule type="expression" dxfId="4" priority="2">
      <formula>#REF!="No"</formula>
    </cfRule>
  </conditionalFormatting>
  <conditionalFormatting sqref="AJ25">
    <cfRule type="expression" dxfId="3" priority="1">
      <formula>#REF!="No"</formula>
    </cfRule>
  </conditionalFormatting>
  <conditionalFormatting sqref="AQ25">
    <cfRule type="expression" dxfId="2" priority="62">
      <formula>#REF!="No"</formula>
    </cfRule>
  </conditionalFormatting>
  <conditionalFormatting sqref="AS25">
    <cfRule type="expression" dxfId="1" priority="18">
      <formula>#REF!="No"</formula>
    </cfRule>
  </conditionalFormatting>
  <conditionalFormatting sqref="CE25">
    <cfRule type="cellIs" dxfId="0" priority="43" operator="lessThanOrEqual">
      <formula>0</formula>
    </cfRule>
  </conditionalFormatting>
  <dataValidations count="1">
    <dataValidation type="list" allowBlank="1" showInputMessage="1" showErrorMessage="1" sqref="I25 G25" xr:uid="{34BD20CA-FC98-4800-92A8-A59BB2CBFDF7}">
      <formula1>INDIRECT(F25)</formula1>
    </dataValidation>
  </dataValidations>
  <pageMargins left="0.7" right="0.7" top="0.75" bottom="0.75" header="0.3" footer="0.3"/>
  <pageSetup orientation="portrait" horizontalDpi="360" verticalDpi="36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0136AF7-B336-466A-8679-24CCBF3F9171}">
          <x14:formula1>
            <xm:f>'CAT Propiedades'!$BJ$3:$DG$3</xm:f>
          </x14:formula1>
          <xm:sqref>H25</xm:sqref>
        </x14:dataValidation>
        <x14:dataValidation type="list" allowBlank="1" showInputMessage="1" showErrorMessage="1" xr:uid="{FCBCB24D-4DFB-4ED9-8445-6A3CB48D3465}">
          <x14:formula1>
            <xm:f>'CAT Propiedades'!$AY$3:$BH$3</xm:f>
          </x14:formula1>
          <xm:sqref>F25</xm:sqref>
        </x14:dataValidation>
        <x14:dataValidation type="list" allowBlank="1" showInputMessage="1" showErrorMessage="1" xr:uid="{6CDF3838-CB6E-4F63-9B4F-7AFFD4EACF8E}">
          <x14:formula1>
            <xm:f>'CAT Propiedades'!#REF!</xm:f>
          </x14:formula1>
          <xm:sqref>E25 BM23 AP25 AR25 AN25 U25:V25 AI25 AD25 AK25 AB25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CB18-F8A1-4887-81BC-F911E2E8F259}">
  <sheetPr>
    <tabColor rgb="FFFFFF00"/>
  </sheetPr>
  <dimension ref="A1:T95"/>
  <sheetViews>
    <sheetView topLeftCell="A16" zoomScaleNormal="130" workbookViewId="0">
      <selection activeCell="G61" sqref="G61:H61"/>
    </sheetView>
  </sheetViews>
  <sheetFormatPr baseColWidth="10" defaultColWidth="11.5703125" defaultRowHeight="15" outlineLevelRow="1"/>
  <cols>
    <col min="1" max="1" width="0.85546875" style="1" customWidth="1"/>
    <col min="2" max="2" width="5" style="1" customWidth="1"/>
    <col min="3" max="3" width="18.28515625" style="1" customWidth="1"/>
    <col min="4" max="4" width="26" style="1" customWidth="1"/>
    <col min="5" max="5" width="11.28515625" style="1" bestFit="1" customWidth="1"/>
    <col min="6" max="6" width="14.42578125" style="1" customWidth="1"/>
    <col min="7" max="7" width="12" style="1" bestFit="1" customWidth="1"/>
    <col min="8" max="8" width="26.28515625" style="1" customWidth="1"/>
    <col min="9" max="9" width="26.5703125" style="1" customWidth="1"/>
    <col min="10" max="10" width="0.42578125" style="1" hidden="1" customWidth="1"/>
    <col min="11" max="16384" width="11.5703125" style="1"/>
  </cols>
  <sheetData>
    <row r="1" spans="3:20" s="2" customFormat="1">
      <c r="N1" s="1"/>
      <c r="O1" s="1"/>
      <c r="P1" s="1"/>
      <c r="Q1" s="1"/>
      <c r="R1" s="1"/>
      <c r="S1" s="1"/>
      <c r="T1" s="1"/>
    </row>
    <row r="2" spans="3:20" ht="18">
      <c r="C2" s="568" t="s">
        <v>603</v>
      </c>
      <c r="D2" s="568"/>
      <c r="E2" s="568"/>
      <c r="F2" s="568"/>
      <c r="G2" s="568"/>
      <c r="H2" s="568"/>
      <c r="I2" s="568"/>
    </row>
    <row r="3" spans="3:20" ht="41.45" customHeight="1">
      <c r="C3" s="569" t="s">
        <v>602</v>
      </c>
      <c r="D3" s="569"/>
      <c r="E3" s="569"/>
      <c r="F3" s="569"/>
      <c r="G3" s="569"/>
      <c r="H3" s="569"/>
      <c r="I3" s="210"/>
    </row>
    <row r="4" spans="3:20" ht="41.45" customHeight="1">
      <c r="C4" s="572" t="s">
        <v>601</v>
      </c>
      <c r="D4" s="572"/>
      <c r="E4" s="572"/>
      <c r="F4" s="572"/>
      <c r="G4" s="572"/>
      <c r="H4" s="572"/>
      <c r="I4" s="218"/>
    </row>
    <row r="5" spans="3:20">
      <c r="C5" s="201"/>
      <c r="D5" s="201"/>
      <c r="E5" s="201"/>
      <c r="F5" s="201"/>
      <c r="G5" s="201"/>
      <c r="H5" s="201"/>
      <c r="I5" s="201"/>
    </row>
    <row r="6" spans="3:20" ht="37.9" customHeight="1">
      <c r="C6" s="573">
        <f ca="1">C33</f>
        <v>11590882.700722408</v>
      </c>
      <c r="D6" s="573"/>
      <c r="E6" s="201"/>
      <c r="F6" s="201"/>
      <c r="G6" s="201"/>
      <c r="H6" s="201"/>
      <c r="I6" s="201"/>
    </row>
    <row r="7" spans="3:20" ht="95.45" customHeight="1">
      <c r="C7" s="201"/>
      <c r="D7" s="201"/>
      <c r="E7" s="201"/>
      <c r="F7" s="201"/>
      <c r="G7" s="201"/>
      <c r="H7" s="201"/>
      <c r="I7" s="201"/>
    </row>
    <row r="8" spans="3:20">
      <c r="C8" s="201"/>
      <c r="D8" s="201"/>
      <c r="E8" s="201"/>
      <c r="F8" s="201"/>
      <c r="G8" s="201"/>
      <c r="H8" s="201"/>
      <c r="I8" s="201"/>
    </row>
    <row r="9" spans="3:20">
      <c r="C9" s="201"/>
      <c r="D9" s="201"/>
      <c r="E9" s="201"/>
      <c r="F9" s="201"/>
      <c r="G9" s="201"/>
      <c r="H9" s="201"/>
      <c r="I9" s="201"/>
    </row>
    <row r="10" spans="3:20">
      <c r="C10" s="201"/>
      <c r="D10" s="201"/>
      <c r="E10" s="201"/>
      <c r="F10" s="201"/>
      <c r="G10" s="201"/>
      <c r="H10" s="201"/>
      <c r="I10" s="201"/>
    </row>
    <row r="11" spans="3:20">
      <c r="C11" s="201"/>
      <c r="D11" s="201"/>
      <c r="E11" s="201"/>
      <c r="F11" s="201"/>
      <c r="G11" s="201"/>
      <c r="H11" s="201"/>
      <c r="I11" s="201"/>
    </row>
    <row r="12" spans="3:20">
      <c r="C12" s="201"/>
      <c r="D12" s="201"/>
      <c r="E12" s="201"/>
      <c r="F12" s="201"/>
      <c r="G12" s="201"/>
      <c r="H12" s="201"/>
      <c r="I12" s="201"/>
    </row>
    <row r="13" spans="3:20">
      <c r="C13" s="201"/>
      <c r="D13" s="201"/>
      <c r="E13" s="201"/>
      <c r="F13" s="201"/>
      <c r="G13" s="201"/>
      <c r="H13" s="201"/>
      <c r="I13" s="201"/>
    </row>
    <row r="14" spans="3:20">
      <c r="C14" s="201"/>
      <c r="D14" s="201"/>
      <c r="E14" s="201"/>
      <c r="F14" s="201"/>
      <c r="G14" s="201"/>
      <c r="H14" s="201"/>
      <c r="I14" s="201"/>
    </row>
    <row r="15" spans="3:20">
      <c r="C15" s="201"/>
      <c r="D15" s="201"/>
      <c r="E15" s="201"/>
      <c r="F15" s="201"/>
      <c r="G15" s="201"/>
      <c r="H15" s="201"/>
      <c r="I15" s="201"/>
    </row>
    <row r="16" spans="3:20">
      <c r="C16" s="201"/>
      <c r="D16" s="201"/>
      <c r="E16" s="201"/>
      <c r="F16" s="201"/>
      <c r="G16" s="201"/>
      <c r="H16" s="201"/>
      <c r="I16" s="201"/>
    </row>
    <row r="17" spans="2:10">
      <c r="C17" s="201"/>
      <c r="D17" s="201"/>
      <c r="E17" s="201"/>
      <c r="F17" s="201"/>
      <c r="G17" s="201"/>
      <c r="H17" s="201"/>
      <c r="I17" s="201"/>
    </row>
    <row r="18" spans="2:10">
      <c r="C18" s="201"/>
      <c r="D18" s="201"/>
      <c r="E18" s="201"/>
      <c r="F18" s="201"/>
      <c r="G18" s="201"/>
      <c r="H18" s="201"/>
      <c r="I18" s="201"/>
    </row>
    <row r="19" spans="2:10">
      <c r="B19" s="215"/>
      <c r="C19" s="214"/>
      <c r="D19" s="201"/>
      <c r="E19" s="201"/>
      <c r="F19" s="201"/>
      <c r="G19" s="201"/>
      <c r="H19" s="201"/>
      <c r="I19" s="201"/>
    </row>
    <row r="20" spans="2:10" ht="6" customHeight="1">
      <c r="B20" s="215"/>
      <c r="C20" s="217">
        <f ca="1">C22/(C23+C24+C25+C26)-1</f>
        <v>0.41807851840997667</v>
      </c>
      <c r="D20" s="201"/>
      <c r="E20" s="201"/>
      <c r="F20" s="201"/>
      <c r="G20" s="201"/>
      <c r="H20" s="201"/>
      <c r="I20" s="201"/>
    </row>
    <row r="21" spans="2:10" ht="6" customHeight="1">
      <c r="B21" s="215"/>
      <c r="C21" s="214"/>
      <c r="D21" s="201"/>
      <c r="E21" s="201"/>
      <c r="F21" s="201"/>
      <c r="G21" s="201"/>
      <c r="H21" s="201"/>
      <c r="I21" s="201"/>
    </row>
    <row r="22" spans="2:10" ht="6" customHeight="1">
      <c r="B22" s="214" t="s">
        <v>600</v>
      </c>
      <c r="C22" s="216">
        <f ca="1">C33-D30</f>
        <v>6725086.1110228347</v>
      </c>
      <c r="D22" s="201"/>
      <c r="E22" s="201"/>
      <c r="F22" s="201"/>
      <c r="G22" s="201"/>
      <c r="H22" s="201"/>
      <c r="I22" s="201"/>
    </row>
    <row r="23" spans="2:10" ht="6" customHeight="1">
      <c r="B23" s="214" t="s">
        <v>518</v>
      </c>
      <c r="C23" s="216">
        <f>[1]PDF!H17</f>
        <v>956577.60000000009</v>
      </c>
      <c r="D23" s="201"/>
      <c r="E23" s="201"/>
      <c r="F23" s="201"/>
      <c r="G23" s="201"/>
      <c r="H23" s="201"/>
      <c r="I23" s="201"/>
    </row>
    <row r="24" spans="2:10" ht="6" customHeight="1">
      <c r="B24" s="214" t="s">
        <v>599</v>
      </c>
      <c r="C24" s="216">
        <f>[1]PDF!C21+[1]PDF!D21</f>
        <v>239144.39999999997</v>
      </c>
      <c r="D24" s="201"/>
      <c r="E24" s="201"/>
      <c r="F24" s="201"/>
      <c r="G24" s="201"/>
      <c r="H24" s="201"/>
      <c r="I24" s="201"/>
    </row>
    <row r="25" spans="2:10" ht="6" customHeight="1">
      <c r="B25" s="214" t="s">
        <v>598</v>
      </c>
      <c r="C25" s="216">
        <f>[1]PDF!F21+[1]PDF!G21</f>
        <v>450000</v>
      </c>
      <c r="D25" s="201"/>
      <c r="E25" s="201"/>
      <c r="F25" s="201"/>
      <c r="G25" s="201"/>
      <c r="H25" s="201"/>
      <c r="I25" s="201"/>
    </row>
    <row r="26" spans="2:10" ht="6" customHeight="1">
      <c r="B26" s="214" t="s">
        <v>597</v>
      </c>
      <c r="C26" s="216">
        <f>[1]PDF!H29+[1]PDF!D33-[1]PDF!H37</f>
        <v>3096671.3327495512</v>
      </c>
      <c r="D26" s="201"/>
      <c r="E26" s="201"/>
      <c r="F26" s="201"/>
      <c r="G26" s="201"/>
      <c r="H26" s="201"/>
      <c r="I26" s="201"/>
    </row>
    <row r="27" spans="2:10" ht="6" customHeight="1">
      <c r="B27" s="214" t="s">
        <v>596</v>
      </c>
      <c r="C27" s="216">
        <f>[1]PDF!D33-[1]PDF!H37</f>
        <v>2051430.4204832744</v>
      </c>
      <c r="D27" s="201"/>
      <c r="E27" s="201"/>
      <c r="F27" s="201"/>
      <c r="G27" s="201"/>
      <c r="H27" s="201"/>
      <c r="I27" s="201"/>
    </row>
    <row r="28" spans="2:10">
      <c r="B28" s="215"/>
      <c r="C28" s="214"/>
      <c r="D28" s="201"/>
      <c r="E28" s="201"/>
      <c r="F28" s="201"/>
      <c r="G28" s="201"/>
      <c r="H28" s="201"/>
      <c r="I28" s="201"/>
    </row>
    <row r="29" spans="2:10" ht="15.75" hidden="1">
      <c r="C29" s="206" t="s">
        <v>595</v>
      </c>
      <c r="D29" s="213"/>
      <c r="E29" s="213"/>
      <c r="F29" s="213"/>
      <c r="G29" s="213"/>
      <c r="H29" s="213"/>
      <c r="I29" s="205"/>
    </row>
    <row r="30" spans="2:10" hidden="1">
      <c r="C30" s="212" t="s">
        <v>594</v>
      </c>
      <c r="D30" s="211">
        <f>I69-I73</f>
        <v>4865796.5896995729</v>
      </c>
      <c r="E30" s="570" t="s">
        <v>593</v>
      </c>
      <c r="F30" s="570"/>
      <c r="G30" s="570"/>
      <c r="H30" s="210" t="str">
        <f ca="1">INT(TIPOLOGÍAS!CM3) &amp; " años y " &amp; INT((TIPOLOGÍAS!CM3-INT(TIPOLOGÍAS!CM3))*12) &amp; " meses"</f>
        <v>13 años y 9 meses</v>
      </c>
      <c r="I30" s="210"/>
      <c r="J30" s="210"/>
    </row>
    <row r="31" spans="2:10" ht="8.4499999999999993" hidden="1" customHeight="1">
      <c r="C31" s="209"/>
      <c r="D31" s="209"/>
      <c r="E31" s="209"/>
      <c r="F31" s="209"/>
      <c r="G31" s="209"/>
      <c r="H31" s="209"/>
      <c r="I31" s="201"/>
    </row>
    <row r="32" spans="2:10" ht="15.75" hidden="1">
      <c r="C32" s="206" t="s">
        <v>592</v>
      </c>
      <c r="D32" s="206"/>
      <c r="E32" s="206"/>
      <c r="F32" s="206"/>
      <c r="G32" s="206"/>
      <c r="H32" s="206"/>
      <c r="I32" s="205"/>
    </row>
    <row r="33" spans="3:9" ht="15.6" hidden="1" customHeight="1">
      <c r="C33" s="208">
        <f ca="1">TIPOLOGÍAS!CO3</f>
        <v>11590882.700722408</v>
      </c>
      <c r="D33" s="203" t="s">
        <v>591</v>
      </c>
      <c r="E33" s="202"/>
      <c r="F33" s="202"/>
      <c r="G33" s="202"/>
      <c r="H33" s="202"/>
      <c r="I33" s="174"/>
    </row>
    <row r="34" spans="3:9" ht="8.4499999999999993" hidden="1" customHeight="1">
      <c r="C34" s="207"/>
      <c r="D34" s="202"/>
      <c r="E34" s="202"/>
      <c r="F34" s="202"/>
      <c r="G34" s="202"/>
      <c r="H34" s="202"/>
      <c r="I34" s="174"/>
    </row>
    <row r="35" spans="3:9" ht="15.6" hidden="1" customHeight="1">
      <c r="C35" s="206" t="s">
        <v>590</v>
      </c>
      <c r="D35" s="206"/>
      <c r="E35" s="206"/>
      <c r="F35" s="206"/>
      <c r="G35" s="206"/>
      <c r="H35" s="206"/>
      <c r="I35" s="205"/>
    </row>
    <row r="36" spans="3:9" ht="15.6" hidden="1" customHeight="1">
      <c r="C36" s="204">
        <f ca="1">(RATE(TIPOLOGÍAS!CL3,(((TIPOLOGÍAS!AQ3+TIPOLOGÍAS!AS3)+(TIPOLOGÍAS!BB3+TIPOLOGÍAS!BC3+TIPOLOGÍAS!BD3+TIPOLOGÍAS!BE3)+(TIPOLOGÍAS!BL3*12*TIPOLOGÍAS!$BK$1)+(TIPOLOGÍAS!BU3))-TIPOLOGÍAS!CC3)/TIPOLOGÍAS!CL3,0,-TIPOLOGÍAS!CO3,1))*12</f>
        <v>0.11488738349984495</v>
      </c>
      <c r="D36" s="203" t="s">
        <v>589</v>
      </c>
      <c r="E36" s="202"/>
      <c r="F36" s="202"/>
      <c r="G36" s="202"/>
      <c r="H36" s="202"/>
      <c r="I36" s="174"/>
    </row>
    <row r="37" spans="3:9" ht="15.6" hidden="1" customHeight="1">
      <c r="C37" s="174"/>
      <c r="D37" s="174"/>
      <c r="E37" s="174"/>
      <c r="F37" s="174"/>
      <c r="G37" s="174"/>
      <c r="H37" s="174"/>
      <c r="I37" s="174"/>
    </row>
    <row r="38" spans="3:9" ht="18">
      <c r="C38" s="568" t="s">
        <v>588</v>
      </c>
      <c r="D38" s="568"/>
      <c r="E38" s="568"/>
      <c r="F38" s="568"/>
      <c r="G38" s="568"/>
      <c r="H38" s="568"/>
      <c r="I38" s="568"/>
    </row>
    <row r="39" spans="3:9" ht="45" customHeight="1">
      <c r="C39" s="569" t="s">
        <v>587</v>
      </c>
      <c r="D39" s="569"/>
      <c r="E39" s="569"/>
      <c r="F39" s="569"/>
      <c r="G39" s="569"/>
      <c r="H39" s="569"/>
    </row>
    <row r="40" spans="3:9" ht="109.15" customHeight="1">
      <c r="C40" s="571" t="s">
        <v>586</v>
      </c>
      <c r="D40" s="571"/>
      <c r="E40" s="571"/>
      <c r="F40" s="571"/>
      <c r="G40" s="571"/>
      <c r="H40" s="571"/>
    </row>
    <row r="41" spans="3:9" ht="6.6" customHeight="1"/>
    <row r="42" spans="3:9">
      <c r="C42" s="1" t="s">
        <v>585</v>
      </c>
      <c r="D42" s="574"/>
      <c r="E42" s="575"/>
    </row>
    <row r="43" spans="3:9" ht="5.45" customHeight="1"/>
    <row r="44" spans="3:9">
      <c r="C44" s="1" t="s">
        <v>584</v>
      </c>
      <c r="D44" s="574"/>
      <c r="E44" s="575"/>
    </row>
    <row r="45" spans="3:9" ht="5.45" customHeight="1"/>
    <row r="46" spans="3:9">
      <c r="C46" s="1" t="s">
        <v>583</v>
      </c>
      <c r="D46" s="574"/>
      <c r="E46" s="575"/>
    </row>
    <row r="48" spans="3:9">
      <c r="D48" s="576" t="s">
        <v>582</v>
      </c>
      <c r="E48" s="576"/>
    </row>
    <row r="51" spans="1:9" ht="15.75">
      <c r="C51" s="577" t="s">
        <v>581</v>
      </c>
      <c r="D51" s="577"/>
      <c r="E51" s="577"/>
      <c r="F51" s="577"/>
      <c r="G51" s="577"/>
      <c r="H51" s="577"/>
      <c r="I51" s="577"/>
    </row>
    <row r="52" spans="1:9" hidden="1" outlineLevel="1">
      <c r="A52" s="174"/>
      <c r="B52" s="174"/>
      <c r="C52" s="565">
        <f ca="1">TODAY()+15</f>
        <v>46059</v>
      </c>
      <c r="D52" s="566"/>
      <c r="E52" s="567" t="s">
        <v>580</v>
      </c>
      <c r="F52" s="567"/>
      <c r="G52" s="567"/>
      <c r="H52" s="567"/>
      <c r="I52" s="200" t="s">
        <v>561</v>
      </c>
    </row>
    <row r="53" spans="1:9" hidden="1" outlineLevel="1">
      <c r="A53" s="174"/>
      <c r="B53" s="174"/>
      <c r="C53" s="198">
        <f>TIPOLOGÍAS!AP3</f>
        <v>0.1</v>
      </c>
      <c r="D53" s="199">
        <f>TIPOLOGÍAS!AQ3</f>
        <v>478288.80000000005</v>
      </c>
      <c r="E53" s="198">
        <f>TIPOLOGÍAS!AR3</f>
        <v>0.1</v>
      </c>
      <c r="F53" s="196">
        <f>TIPOLOGÍAS!AS3</f>
        <v>478288.80000000005</v>
      </c>
      <c r="G53" s="197">
        <f>TIPOLOGÍAS!AT3</f>
        <v>21</v>
      </c>
      <c r="H53" s="196">
        <f>TIPOLOGÍAS!AU3</f>
        <v>22775.657142857144</v>
      </c>
      <c r="I53" s="195">
        <f>TIPOLOGÍAS!AQ3+TIPOLOGÍAS!AS3</f>
        <v>956577.60000000009</v>
      </c>
    </row>
    <row r="54" spans="1:9" ht="7.9" hidden="1" customHeight="1" outlineLevel="1">
      <c r="A54" s="174"/>
      <c r="B54" s="174"/>
      <c r="C54" s="174"/>
      <c r="D54" s="174"/>
      <c r="E54" s="174"/>
      <c r="F54" s="174"/>
      <c r="G54" s="174"/>
      <c r="H54" s="174"/>
      <c r="I54" s="174"/>
    </row>
    <row r="55" spans="1:9" collapsed="1">
      <c r="A55" s="174"/>
      <c r="B55" s="174"/>
      <c r="C55" s="555" t="s">
        <v>579</v>
      </c>
      <c r="D55" s="555"/>
      <c r="E55" s="555"/>
      <c r="F55" s="555"/>
      <c r="G55" s="555"/>
      <c r="H55" s="555"/>
      <c r="I55" s="555"/>
    </row>
    <row r="56" spans="1:9" outlineLevel="1">
      <c r="A56" s="174"/>
      <c r="B56" s="174"/>
      <c r="C56" s="191" t="s">
        <v>578</v>
      </c>
      <c r="D56" s="194" t="s">
        <v>117</v>
      </c>
      <c r="E56" s="556" t="s">
        <v>577</v>
      </c>
      <c r="F56" s="557"/>
      <c r="G56" s="194" t="s">
        <v>576</v>
      </c>
      <c r="H56" s="193" t="s">
        <v>575</v>
      </c>
      <c r="I56" s="192" t="s">
        <v>561</v>
      </c>
    </row>
    <row r="57" spans="1:9" outlineLevel="1">
      <c r="A57" s="174"/>
      <c r="B57" s="174"/>
      <c r="C57" s="191">
        <f>TIPOLOGÍAS!AZ3</f>
        <v>45597</v>
      </c>
      <c r="D57" s="190">
        <f>TIPOLOGÍAS!BB3</f>
        <v>143486.63999999998</v>
      </c>
      <c r="E57" s="558">
        <f>TIPOLOGÍAS!BC3</f>
        <v>95657.76</v>
      </c>
      <c r="F57" s="559"/>
      <c r="G57" s="189">
        <f>TIPOLOGÍAS!BD3</f>
        <v>300000</v>
      </c>
      <c r="H57" s="188">
        <f>TIPOLOGÍAS!BE3</f>
        <v>150000</v>
      </c>
      <c r="I57" s="187">
        <f>TIPOLOGÍAS!BB3+TIPOLOGÍAS!BC3+TIPOLOGÍAS!BD3+TIPOLOGÍAS!BE3</f>
        <v>689144.39999999991</v>
      </c>
    </row>
    <row r="58" spans="1:9" ht="7.9" customHeight="1" outlineLevel="1">
      <c r="A58" s="174"/>
      <c r="B58" s="174"/>
      <c r="C58" s="174"/>
      <c r="D58" s="174"/>
      <c r="E58" s="174"/>
      <c r="F58" s="174"/>
      <c r="G58" s="174"/>
      <c r="H58" s="174"/>
      <c r="I58" s="174"/>
    </row>
    <row r="59" spans="1:9">
      <c r="A59" s="174"/>
      <c r="B59" s="174"/>
      <c r="C59" s="560" t="s">
        <v>574</v>
      </c>
      <c r="D59" s="560"/>
      <c r="E59" s="560"/>
      <c r="F59" s="560"/>
      <c r="G59" s="560"/>
      <c r="H59" s="560"/>
      <c r="I59" s="560"/>
    </row>
    <row r="60" spans="1:9" outlineLevel="1">
      <c r="A60" s="174"/>
      <c r="B60" s="174"/>
      <c r="C60" s="561" t="s">
        <v>573</v>
      </c>
      <c r="D60" s="562"/>
      <c r="E60" s="182" t="s">
        <v>572</v>
      </c>
      <c r="F60" s="186" t="s">
        <v>571</v>
      </c>
      <c r="G60" s="563" t="s">
        <v>570</v>
      </c>
      <c r="H60" s="564"/>
      <c r="I60" s="185" t="s">
        <v>561</v>
      </c>
    </row>
    <row r="61" spans="1:9" outlineLevel="1">
      <c r="A61" s="174"/>
      <c r="B61" s="174"/>
      <c r="C61" s="184">
        <f>(TIPOLOGÍAS!R3-TIPOLOGÍAS!AQ3-TIPOLOGÍAS!AS3)/TIPOLOGÍAS!R3</f>
        <v>0.79572913125404676</v>
      </c>
      <c r="D61" s="183">
        <f>TIPOLOGÍAS!AX3</f>
        <v>3826310.4000000004</v>
      </c>
      <c r="E61" s="182">
        <f>TIPOLOGÍAS!BK$1</f>
        <v>15</v>
      </c>
      <c r="F61" s="181">
        <f>TIPOLOGÍAS!BJ$1</f>
        <v>0.12</v>
      </c>
      <c r="G61" s="541">
        <f>TIPOLOGÍAS!BL3</f>
        <v>45922.15537728605</v>
      </c>
      <c r="H61" s="542"/>
      <c r="I61" s="180">
        <f>TIPOLOGÍAS!BK$1*12*TIPOLOGÍAS!BL3</f>
        <v>8265987.9679114893</v>
      </c>
    </row>
    <row r="62" spans="1:9" ht="7.9" customHeight="1" outlineLevel="1">
      <c r="A62" s="174"/>
      <c r="B62" s="174"/>
      <c r="C62" s="174"/>
      <c r="D62" s="174"/>
      <c r="E62" s="174"/>
      <c r="F62" s="174"/>
      <c r="G62" s="174"/>
      <c r="H62" s="174"/>
      <c r="I62" s="174"/>
    </row>
    <row r="63" spans="1:9">
      <c r="A63" s="174"/>
      <c r="B63" s="174"/>
      <c r="C63" s="543" t="s">
        <v>569</v>
      </c>
      <c r="D63" s="543"/>
      <c r="E63" s="543"/>
      <c r="F63" s="543"/>
      <c r="G63" s="543"/>
      <c r="H63" s="543"/>
      <c r="I63" s="543"/>
    </row>
    <row r="64" spans="1:9" outlineLevel="1">
      <c r="A64" s="174"/>
      <c r="B64" s="174"/>
      <c r="C64" s="544" t="s">
        <v>563</v>
      </c>
      <c r="D64" s="544"/>
      <c r="E64" s="545"/>
      <c r="F64" s="546" t="s">
        <v>562</v>
      </c>
      <c r="G64" s="546"/>
      <c r="H64" s="546"/>
      <c r="I64" s="179" t="s">
        <v>561</v>
      </c>
    </row>
    <row r="65" spans="1:20" outlineLevel="1">
      <c r="A65" s="155"/>
      <c r="B65" s="155"/>
      <c r="C65" s="177">
        <f>TIPOLOGÍAS!AZ3+31</f>
        <v>45628</v>
      </c>
      <c r="D65" s="547">
        <f>TIPOLOGÍAS!BQ3</f>
        <v>3520</v>
      </c>
      <c r="E65" s="548"/>
      <c r="F65" s="178"/>
      <c r="G65" s="177">
        <f>TIPOLOGÍAS!AZ3+(TIPOLOGÍAS!BK$1*365.25)</f>
        <v>51075.75</v>
      </c>
      <c r="H65" s="176">
        <f>TIPOLOGÍAS!BS3</f>
        <v>8841.7901087786195</v>
      </c>
      <c r="I65" s="175">
        <f>TIPOLOGÍAS!BU3</f>
        <v>1045240.912266276</v>
      </c>
    </row>
    <row r="66" spans="1:20" ht="7.9" customHeight="1" outlineLevel="1">
      <c r="A66" s="155"/>
      <c r="B66" s="155"/>
      <c r="C66" s="153"/>
      <c r="D66" s="151"/>
      <c r="E66" s="151"/>
      <c r="F66" s="152"/>
      <c r="G66" s="153"/>
      <c r="H66" s="152"/>
      <c r="I66" s="151"/>
    </row>
    <row r="67" spans="1:20">
      <c r="A67" s="174"/>
      <c r="B67" s="174"/>
      <c r="C67" s="549" t="s">
        <v>568</v>
      </c>
      <c r="D67" s="549"/>
      <c r="E67" s="549"/>
      <c r="F67" s="549"/>
      <c r="G67" s="549"/>
      <c r="H67" s="549"/>
      <c r="I67" s="549"/>
    </row>
    <row r="68" spans="1:20" outlineLevel="1">
      <c r="A68" s="174"/>
      <c r="B68" s="174"/>
      <c r="C68" s="173" t="s">
        <v>518</v>
      </c>
      <c r="D68" s="172" t="s">
        <v>567</v>
      </c>
      <c r="E68" s="550" t="s">
        <v>566</v>
      </c>
      <c r="F68" s="551"/>
      <c r="G68" s="550" t="s">
        <v>565</v>
      </c>
      <c r="H68" s="551"/>
      <c r="I68" s="171" t="s">
        <v>561</v>
      </c>
    </row>
    <row r="69" spans="1:20" outlineLevel="1">
      <c r="A69" s="155"/>
      <c r="B69" s="155"/>
      <c r="C69" s="170">
        <f>TIPOLOGÍAS!AQ3+TIPOLOGÍAS!AS3</f>
        <v>956577.60000000009</v>
      </c>
      <c r="D69" s="170">
        <f>TIPOLOGÍAS!BB3+TIPOLOGÍAS!BC3+TIPOLOGÍAS!BD3+TIPOLOGÍAS!BE3</f>
        <v>689144.39999999991</v>
      </c>
      <c r="E69" s="552">
        <f>TIPOLOGÍAS!BK$1*12*TIPOLOGÍAS!BL3</f>
        <v>8265987.9679114893</v>
      </c>
      <c r="F69" s="553"/>
      <c r="G69" s="552">
        <f>TIPOLOGÍAS!BU3</f>
        <v>1045240.912266276</v>
      </c>
      <c r="H69" s="553"/>
      <c r="I69" s="169">
        <f>I53+I57+I61+I65</f>
        <v>10956950.880177766</v>
      </c>
    </row>
    <row r="70" spans="1:20" ht="7.9" customHeight="1" outlineLevel="1">
      <c r="A70" s="155"/>
      <c r="B70" s="155"/>
      <c r="C70" s="153"/>
      <c r="D70" s="151"/>
      <c r="E70" s="151"/>
      <c r="F70" s="152"/>
      <c r="G70" s="153"/>
      <c r="H70" s="152"/>
      <c r="I70" s="151"/>
    </row>
    <row r="71" spans="1:20" s="2" customFormat="1" ht="14.45" customHeight="1">
      <c r="A71" s="156"/>
      <c r="B71" s="156"/>
      <c r="C71" s="554" t="s">
        <v>564</v>
      </c>
      <c r="D71" s="554"/>
      <c r="E71" s="554"/>
      <c r="F71" s="554"/>
      <c r="G71" s="554"/>
      <c r="H71" s="554"/>
      <c r="I71" s="554"/>
      <c r="L71" s="1"/>
      <c r="M71" s="1"/>
      <c r="N71" s="1"/>
      <c r="O71" s="1"/>
      <c r="P71" s="1"/>
      <c r="Q71" s="1"/>
      <c r="R71" s="1"/>
      <c r="S71" s="1"/>
      <c r="T71" s="1"/>
    </row>
    <row r="72" spans="1:20" s="2" customFormat="1" ht="14.45" customHeight="1" outlineLevel="1">
      <c r="A72" s="156"/>
      <c r="B72" s="156"/>
      <c r="C72" s="537" t="s">
        <v>563</v>
      </c>
      <c r="D72" s="538"/>
      <c r="E72" s="539" t="s">
        <v>562</v>
      </c>
      <c r="F72" s="539"/>
      <c r="G72" s="540"/>
      <c r="H72" s="168"/>
      <c r="I72" s="167" t="s">
        <v>561</v>
      </c>
      <c r="L72" s="1"/>
      <c r="M72" s="1"/>
      <c r="N72" s="1"/>
      <c r="O72" s="1"/>
      <c r="P72" s="1"/>
      <c r="Q72" s="1"/>
      <c r="R72" s="1"/>
      <c r="S72" s="1"/>
      <c r="T72" s="1"/>
    </row>
    <row r="73" spans="1:20" s="2" customFormat="1" ht="15" customHeight="1" outlineLevel="1">
      <c r="A73" s="156"/>
      <c r="B73" s="156"/>
      <c r="C73" s="166">
        <f>TIPOLOGÍAS!AZ3+62</f>
        <v>45659</v>
      </c>
      <c r="D73" s="165">
        <f>TIPOLOGÍAS!BW3</f>
        <v>23000</v>
      </c>
      <c r="E73" s="531">
        <f>TIPOLOGÍAS!AZ3+(TIPOLOGÍAS!BK$1*365.25)</f>
        <v>51075.75</v>
      </c>
      <c r="F73" s="531"/>
      <c r="G73" s="165">
        <f>TIPOLOGÍAS!BZ3</f>
        <v>61701.628475010788</v>
      </c>
      <c r="H73" s="164"/>
      <c r="I73" s="163">
        <f>TIPOLOGÍAS!CC3-(TIPOLOGÍAS!BZ3*2)</f>
        <v>6091154.2904781932</v>
      </c>
      <c r="L73" s="1"/>
      <c r="M73" s="1"/>
      <c r="N73" s="1"/>
      <c r="O73" s="1"/>
      <c r="P73" s="1"/>
      <c r="Q73" s="1"/>
      <c r="R73" s="1"/>
      <c r="S73" s="1"/>
      <c r="T73" s="1"/>
    </row>
    <row r="74" spans="1:20" ht="7.9" customHeight="1" outlineLevel="1">
      <c r="A74" s="155"/>
      <c r="B74" s="155"/>
      <c r="C74" s="153"/>
      <c r="D74" s="151"/>
      <c r="E74" s="151"/>
      <c r="F74" s="152"/>
      <c r="G74" s="153"/>
      <c r="H74" s="152"/>
      <c r="I74" s="151"/>
    </row>
    <row r="75" spans="1:20" s="2" customFormat="1">
      <c r="A75" s="156"/>
      <c r="B75" s="156"/>
      <c r="C75" s="532" t="s">
        <v>560</v>
      </c>
      <c r="D75" s="532"/>
      <c r="E75" s="532"/>
      <c r="F75" s="532"/>
      <c r="G75" s="532"/>
      <c r="H75" s="532"/>
      <c r="I75" s="532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s="2" customFormat="1" outlineLevel="1">
      <c r="A76" s="156"/>
      <c r="B76" s="156"/>
      <c r="C76" s="162" t="s">
        <v>559</v>
      </c>
      <c r="D76" s="533" t="s">
        <v>558</v>
      </c>
      <c r="E76" s="534"/>
      <c r="F76" s="533" t="s">
        <v>557</v>
      </c>
      <c r="G76" s="534"/>
      <c r="H76" s="161" t="s">
        <v>556</v>
      </c>
      <c r="I76" s="160" t="s">
        <v>555</v>
      </c>
      <c r="J76" s="159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s="2" customFormat="1" ht="15" customHeight="1" outlineLevel="1">
      <c r="A77" s="156"/>
      <c r="B77" s="156"/>
      <c r="C77" s="158">
        <f>I69</f>
        <v>10956950.880177766</v>
      </c>
      <c r="D77" s="535">
        <f>I73</f>
        <v>6091154.2904781932</v>
      </c>
      <c r="E77" s="536"/>
      <c r="F77" s="535">
        <f>C77-D77</f>
        <v>4865796.5896995729</v>
      </c>
      <c r="G77" s="536"/>
      <c r="H77" s="157" t="str">
        <f ca="1">INT(TIPOLOGÍAS!CM3) &amp; " años y " &amp; INT((TIPOLOGÍAS!CM3-INT(TIPOLOGÍAS!CM3))*12) &amp; " meses"</f>
        <v>13 años y 9 meses</v>
      </c>
      <c r="I77" s="157">
        <f ca="1">F77/TIPOLOGÍAS!CL3</f>
        <v>29433.633169171906</v>
      </c>
      <c r="J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7.9" customHeight="1" outlineLevel="1">
      <c r="A78" s="155"/>
      <c r="B78" s="155"/>
      <c r="C78" s="153"/>
      <c r="D78" s="151"/>
      <c r="E78" s="151"/>
      <c r="F78" s="152"/>
      <c r="G78" s="153"/>
      <c r="H78" s="152"/>
      <c r="I78" s="151"/>
    </row>
    <row r="79" spans="1:20" s="2" customFormat="1" ht="14.45" customHeight="1">
      <c r="A79" s="156"/>
      <c r="B79" s="156"/>
      <c r="C79" s="156"/>
      <c r="D79" s="156"/>
      <c r="E79" s="156"/>
      <c r="F79" s="156"/>
      <c r="G79" s="156"/>
      <c r="H79" s="156"/>
      <c r="I79" s="156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s="2" customFormat="1" ht="14.45" customHeight="1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"/>
      <c r="M80" s="1"/>
      <c r="N80" s="1"/>
      <c r="O80" s="1"/>
      <c r="P80" s="1"/>
      <c r="Q80" s="1"/>
      <c r="R80" s="1"/>
      <c r="S80" s="1"/>
      <c r="T80" s="1"/>
    </row>
    <row r="81" spans="1:20" s="2" customFormat="1">
      <c r="A81" s="156"/>
      <c r="B81" s="156"/>
      <c r="C81" s="154"/>
      <c r="D81" s="156"/>
      <c r="E81" s="156"/>
      <c r="F81" s="156"/>
      <c r="G81" s="156"/>
      <c r="H81" s="156"/>
      <c r="I81" s="156"/>
      <c r="J81" s="156"/>
      <c r="K81" s="156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55"/>
      <c r="B82" s="155"/>
      <c r="C82" s="154"/>
      <c r="D82" s="151"/>
      <c r="E82" s="151"/>
      <c r="F82" s="152"/>
      <c r="G82" s="153"/>
      <c r="H82" s="152"/>
      <c r="I82" s="151"/>
      <c r="S82" s="2"/>
      <c r="T82" s="2"/>
    </row>
    <row r="83" spans="1:20" s="2" customFormat="1" ht="15" customHeight="1">
      <c r="L83" s="1"/>
      <c r="M83" s="1"/>
      <c r="N83" s="1"/>
      <c r="O83" s="1"/>
      <c r="P83" s="1"/>
      <c r="Q83" s="1"/>
      <c r="R83" s="1"/>
    </row>
    <row r="84" spans="1:20" s="2" customFormat="1" ht="15" customHeight="1">
      <c r="L84" s="1"/>
      <c r="M84" s="1"/>
      <c r="N84" s="1"/>
      <c r="O84" s="1"/>
      <c r="P84" s="1"/>
      <c r="Q84" s="1"/>
      <c r="R84" s="1"/>
    </row>
    <row r="86" spans="1:20">
      <c r="S86" s="2"/>
      <c r="T86" s="2"/>
    </row>
    <row r="87" spans="1:20">
      <c r="S87" s="2"/>
      <c r="T87" s="2"/>
    </row>
    <row r="88" spans="1:20">
      <c r="S88" s="2"/>
      <c r="T88" s="2"/>
    </row>
    <row r="90" spans="1:20">
      <c r="S90" s="2"/>
      <c r="T90" s="2"/>
    </row>
    <row r="91" spans="1:20">
      <c r="T91" s="2"/>
    </row>
    <row r="92" spans="1:20">
      <c r="S92" s="2"/>
      <c r="T92" s="2"/>
    </row>
    <row r="94" spans="1:20">
      <c r="S94" s="2"/>
      <c r="T94" s="2"/>
    </row>
    <row r="95" spans="1:20">
      <c r="S95" s="2"/>
      <c r="T95" s="2"/>
    </row>
  </sheetData>
  <mergeCells count="40">
    <mergeCell ref="C52:D52"/>
    <mergeCell ref="E52:H52"/>
    <mergeCell ref="C2:I2"/>
    <mergeCell ref="C3:H3"/>
    <mergeCell ref="E30:G30"/>
    <mergeCell ref="C38:I38"/>
    <mergeCell ref="C39:H39"/>
    <mergeCell ref="C40:H40"/>
    <mergeCell ref="C4:H4"/>
    <mergeCell ref="C6:D6"/>
    <mergeCell ref="D42:E42"/>
    <mergeCell ref="D44:E44"/>
    <mergeCell ref="D46:E46"/>
    <mergeCell ref="D48:E48"/>
    <mergeCell ref="C51:I51"/>
    <mergeCell ref="C55:I55"/>
    <mergeCell ref="E56:F56"/>
    <mergeCell ref="E57:F57"/>
    <mergeCell ref="C59:I59"/>
    <mergeCell ref="C60:D60"/>
    <mergeCell ref="G60:H60"/>
    <mergeCell ref="C72:D72"/>
    <mergeCell ref="E72:G72"/>
    <mergeCell ref="G61:H61"/>
    <mergeCell ref="C63:I63"/>
    <mergeCell ref="C64:E64"/>
    <mergeCell ref="F64:H64"/>
    <mergeCell ref="D65:E65"/>
    <mergeCell ref="C67:I67"/>
    <mergeCell ref="E68:F68"/>
    <mergeCell ref="G68:H68"/>
    <mergeCell ref="E69:F69"/>
    <mergeCell ref="G69:H69"/>
    <mergeCell ref="C71:I71"/>
    <mergeCell ref="E73:F73"/>
    <mergeCell ref="C75:I75"/>
    <mergeCell ref="D76:E76"/>
    <mergeCell ref="F76:G76"/>
    <mergeCell ref="D77:E77"/>
    <mergeCell ref="F77:G77"/>
  </mergeCells>
  <pageMargins left="0.25" right="0.25" top="0.75" bottom="0.75" header="0.3" footer="0.3"/>
  <pageSetup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443E-FE9F-4717-BBC3-88CBA1D27213}">
  <sheetPr>
    <tabColor rgb="FFFFFF00"/>
  </sheetPr>
  <dimension ref="A1:K45"/>
  <sheetViews>
    <sheetView topLeftCell="A32" zoomScaleNormal="100" workbookViewId="0">
      <selection activeCell="B17" sqref="B17"/>
    </sheetView>
  </sheetViews>
  <sheetFormatPr baseColWidth="10" defaultColWidth="11.5703125" defaultRowHeight="15" outlineLevelRow="1"/>
  <cols>
    <col min="1" max="1" width="35.7109375" style="1" customWidth="1"/>
    <col min="2" max="2" width="12.42578125" style="1" customWidth="1"/>
    <col min="3" max="3" width="9.7109375" style="1" customWidth="1"/>
    <col min="4" max="4" width="33.140625" style="1" customWidth="1"/>
    <col min="5" max="5" width="11.5703125" style="1" customWidth="1"/>
    <col min="6" max="6" width="2.28515625" style="1" customWidth="1"/>
    <col min="7" max="7" width="1.42578125" style="1" customWidth="1"/>
    <col min="8" max="8" width="27.28515625" style="1" bestFit="1" customWidth="1"/>
    <col min="9" max="9" width="10.7109375" style="1" bestFit="1" customWidth="1"/>
    <col min="10" max="10" width="30.140625" style="1" customWidth="1"/>
    <col min="11" max="11" width="11.5703125" style="1"/>
    <col min="12" max="12" width="18.7109375" style="1" customWidth="1"/>
    <col min="13" max="13" width="23.7109375" style="1" customWidth="1"/>
    <col min="14" max="14" width="18.28515625" style="1" customWidth="1"/>
    <col min="15" max="16" width="11.5703125" style="1"/>
    <col min="17" max="17" width="30.7109375" style="1" customWidth="1"/>
    <col min="18" max="16384" width="11.5703125" style="1"/>
  </cols>
  <sheetData>
    <row r="1" spans="1:11" ht="21">
      <c r="A1" s="276"/>
      <c r="E1" s="275">
        <v>5</v>
      </c>
    </row>
    <row r="2" spans="1:11">
      <c r="E2" s="275"/>
    </row>
    <row r="3" spans="1:11">
      <c r="E3" s="275"/>
    </row>
    <row r="4" spans="1:11">
      <c r="A4" s="234"/>
      <c r="B4" s="234"/>
      <c r="C4" s="234"/>
      <c r="D4" s="234"/>
      <c r="E4" s="274"/>
      <c r="F4" s="234"/>
      <c r="G4" s="234"/>
    </row>
    <row r="5" spans="1:11">
      <c r="A5" s="234"/>
      <c r="B5" s="234"/>
      <c r="C5" s="234"/>
      <c r="D5" s="234"/>
      <c r="E5" s="274"/>
      <c r="F5" s="234"/>
      <c r="G5" s="234"/>
    </row>
    <row r="6" spans="1:11" ht="26.45" customHeight="1">
      <c r="A6" s="580"/>
      <c r="B6" s="580"/>
      <c r="C6" s="580"/>
      <c r="D6" s="580"/>
      <c r="E6" s="580"/>
      <c r="F6" s="272"/>
      <c r="G6" s="272"/>
    </row>
    <row r="7" spans="1:11">
      <c r="A7" s="272"/>
      <c r="B7" s="272"/>
      <c r="C7" s="272"/>
      <c r="D7" s="272"/>
      <c r="E7" s="272"/>
      <c r="F7" s="272"/>
      <c r="G7" s="272"/>
    </row>
    <row r="8" spans="1:11">
      <c r="A8" s="273" t="str">
        <f>UPPER("proyecto "&amp;(VLOOKUP($E$1,TIPOLOGÍAS!$B:$AA,6,FALSE)))</f>
        <v>PROYECTO LÍVITA 20</v>
      </c>
      <c r="B8" s="272"/>
      <c r="C8" s="272"/>
      <c r="D8" s="272"/>
      <c r="E8" s="272"/>
      <c r="G8" s="272"/>
    </row>
    <row r="9" spans="1:11">
      <c r="A9" s="269" t="str">
        <f>VLOOKUP($E$1,TIPOLOGÍAS!$B:$DC,12,FALSE)&amp;" m2"</f>
        <v>88 m2</v>
      </c>
      <c r="B9" s="268" t="str">
        <f>"Vista "&amp;VLOOKUP($E$1,TIPOLOGÍAS!$B:$DC,10,FALSE)</f>
        <v>Vista Obispado</v>
      </c>
      <c r="D9" s="268" t="str">
        <f>VLOOKUP($E$1,TIPOLOGÍAS!$B:$DC,23,FALSE)&amp;" Recámaras"</f>
        <v>2 Recámaras</v>
      </c>
      <c r="E9" s="268" t="s">
        <v>618</v>
      </c>
    </row>
    <row r="10" spans="1:11">
      <c r="A10" s="271">
        <f>VLOOKUP($E$1,TIPOLOGÍAS!$B:$DC,17,FALSE)</f>
        <v>5477582</v>
      </c>
      <c r="B10" s="268" t="str">
        <f>"Nivel "&amp;VLOOKUP($E$1,TIPOLOGÍAS!$B:$DC,9,FALSE)</f>
        <v>Nivel 4</v>
      </c>
      <c r="D10" s="268" t="s">
        <v>617</v>
      </c>
      <c r="E10" s="268" t="s">
        <v>616</v>
      </c>
    </row>
    <row r="11" spans="1:11">
      <c r="A11" s="270" t="str">
        <f>TEXT(VLOOKUP($E$1,TIPOLOGÍAS!$B:$DC,18,FALSE),"$0,0")&amp;" /m2"</f>
        <v>$62,245 /m2</v>
      </c>
      <c r="B11" s="269" t="str">
        <f>"Tipo "&amp;VLOOKUP($E$1,TIPOLOGÍAS!$B:$DC,8,FALSE)</f>
        <v>Tipo A</v>
      </c>
      <c r="D11" s="268" t="str">
        <f>VLOOKUP($E$1,TIPOLOGÍAS!$B:$DC,25,FALSE)&amp;" Baños"</f>
        <v>2 Baños</v>
      </c>
      <c r="E11" s="268" t="s">
        <v>615</v>
      </c>
    </row>
    <row r="12" spans="1:11">
      <c r="A12" s="581" t="str">
        <f>"Ubicado en "&amp;VLOOKUP($E$1,TIPOLOGÍAS!$B:$AA,3,FALSE)&amp;" en la Zona "&amp;VLOOKUP($E$1,TIPOLOGÍAS!$B:$DC,4,FALSE)&amp;", para entrega en Nov 2025"</f>
        <v>Ubicado en Monterrey en la Zona San José Tec, para entrega en Nov 2025</v>
      </c>
      <c r="B12" s="581"/>
      <c r="C12" s="581"/>
      <c r="D12" s="581"/>
      <c r="E12" s="581"/>
      <c r="F12" s="267"/>
      <c r="G12" s="267"/>
    </row>
    <row r="14" spans="1:11" ht="15.75" thickBot="1">
      <c r="A14" s="582" t="s">
        <v>614</v>
      </c>
      <c r="B14" s="583"/>
    </row>
    <row r="15" spans="1:11" s="234" customFormat="1" ht="15.75" outlineLevel="1" thickBot="1">
      <c r="A15" s="266" t="str">
        <f ca="1">"Enganche del "&amp;TEXT(VLOOKUP($E$1,TIPOLOGÍAS!$B:$DC,39,FALSE),"0%")&amp;" en "&amp;TEXT(TODAY()+15,"mmm aa")</f>
        <v>Enganche del 0% en Feb aa</v>
      </c>
      <c r="B15" s="255">
        <f>VLOOKUP($E$1,TIPOLOGÍAS!$B:$DC,42,FALSE)</f>
        <v>821637.29999999993</v>
      </c>
      <c r="I15" s="1"/>
      <c r="J15" s="1"/>
      <c r="K15" s="1"/>
    </row>
    <row r="16" spans="1:11" s="234" customFormat="1" ht="15.75" thickBot="1">
      <c r="A16" s="265" t="str">
        <f>TEXT(VLOOKUP($E$1,TIPOLOGÍAS!$B:$DC,41,FALSE),"0%")&amp;" en plazo a "&amp;VLOOKUP($E$1,TIPOLOGÍAS!$B:$DC,43,FALSE)&amp;" meses de "&amp;TEXT(VLOOKUP($E$1,TIPOLOGÍAS!$B:$DC,44,FALSE),"$0,0")</f>
        <v>15% en plazo a 0.15 meses de $821,637</v>
      </c>
      <c r="B16" s="251">
        <f>VLOOKUP($E$1,TIPOLOGÍAS!$B:$DC,42,FALSE)</f>
        <v>821637.29999999993</v>
      </c>
      <c r="I16" s="1"/>
      <c r="J16" s="1"/>
      <c r="K16" s="1"/>
    </row>
    <row r="17" spans="1:10" s="234" customFormat="1" ht="13.5" outlineLevel="1" thickBot="1">
      <c r="A17" s="264" t="e">
        <f>"Escrituración en "&amp;TEXT(VLOOKUP($E$1,TIPOLOGÍAS!$B:$DC,49,FALSE),"mmm aa")&amp;": "</f>
        <v>#VALUE!</v>
      </c>
      <c r="B17" s="255">
        <f>(VLOOKUP($E$1,TIPOLOGÍAS!$B:$DC,52,FALSE))+(VLOOKUP($E$1,TIPOLOGÍAS!$B:$DC,51,FALSE))</f>
        <v>45931</v>
      </c>
    </row>
    <row r="18" spans="1:10" s="234" customFormat="1" ht="13.5" outlineLevel="1" thickBot="1">
      <c r="A18" s="263" t="s">
        <v>613</v>
      </c>
      <c r="B18" s="251">
        <f>(VLOOKUP($E$1,TIPOLOGÍAS!$B:$DC,53,FALSE))+(VLOOKUP($E$1,TIPOLOGÍAS!$B:$DC,54,FALSE))</f>
        <v>273879.09999999998</v>
      </c>
    </row>
    <row r="19" spans="1:10" s="234" customFormat="1" ht="12.75" outlineLevel="1">
      <c r="A19" s="240" t="str">
        <f>"En "&amp;VLOOKUP($E$1,TIPOLOGÍAS!$B:$DC,43,FALSE)+3&amp;" meses:"</f>
        <v>En 3.15 meses:</v>
      </c>
      <c r="B19" s="262">
        <f>SUM(B15:B18)</f>
        <v>1963084.6999999997</v>
      </c>
    </row>
    <row r="20" spans="1:10" s="234" customFormat="1" ht="12.75" outlineLevel="1">
      <c r="A20" s="240"/>
      <c r="B20" s="261" t="str">
        <f>"Promedio mensual de "&amp;TEXT(B19/(VLOOKUP($E$1,TIPOLOGÍAS!$B:$DC,43,FALSE)+3),"$0,0")</f>
        <v>Promedio mensual de $623,201</v>
      </c>
    </row>
    <row r="21" spans="1:10" s="234" customFormat="1" ht="12.75" outlineLevel="1"/>
    <row r="22" spans="1:10" s="244" customFormat="1" ht="13.5" outlineLevel="1" thickBot="1">
      <c r="A22" s="584" t="s">
        <v>612</v>
      </c>
      <c r="B22" s="585"/>
      <c r="D22" s="584" t="s">
        <v>611</v>
      </c>
      <c r="E22" s="585"/>
      <c r="J22" s="234"/>
    </row>
    <row r="23" spans="1:10" s="244" customFormat="1" ht="13.5" thickBot="1">
      <c r="A23" s="257" t="str">
        <f>TEXT(VLOOKUP($E$1,TIPOLOGÍAS!$B:$DC,46,FALSE),"0,0%")&amp;" restante a "&amp;VLOOKUP($E$1,TIPOLOGÍAS!$B:$DC,60,FALSE)&amp;" años"</f>
        <v>3,912,559% restante a 45962 años</v>
      </c>
      <c r="B23" s="255">
        <f>VLOOKUP($E$1,TIPOLOGÍAS!$B:$DC,57,FALSE)</f>
        <v>763879.1</v>
      </c>
      <c r="D23" s="260" t="str">
        <f>"Renta al iniciar el crédito en "&amp;TEXT(VLOOKUP($E$1,TIPOLOGÍAS!$B:$DC,73,FALSE),"mmm aaa")</f>
        <v>Renta al iniciar el crédito en ene 1900</v>
      </c>
      <c r="E23" s="251">
        <f>VLOOKUP($E$1,TIPOLOGÍAS!$B:$DC,72,FALSE)</f>
        <v>1175896.0262995604</v>
      </c>
      <c r="J23" s="234"/>
    </row>
    <row r="24" spans="1:10" s="244" customFormat="1" ht="13.5" outlineLevel="1" thickBot="1">
      <c r="A24" s="259" t="str">
        <f>"Con Tasa del "&amp;TEXT(VLOOKUP($E$1,TIPOLOGÍAS!$B:$DC,59,FALSE),"00.00%")&amp;" son "&amp;TEXT(VLOOKUP($E$1,TIPOLOGÍAS!$B:$DC,61,FALSE),"$0,0")&amp;" x "&amp;VLOOKUP($E$1,TIPOLOGÍAS!$B:$DC,60,FALSE)*12&amp;"  meses:"</f>
        <v>Con Tasa del 383430740.00% son $00 x 551544  meses:</v>
      </c>
      <c r="B24" s="258">
        <f>VLOOKUP($E$1,TIPOLOGÍAS!$B:$DC,63,FALSE)</f>
        <v>46018.132817211503</v>
      </c>
      <c r="D24" s="257" t="s">
        <v>610</v>
      </c>
      <c r="E24" s="255">
        <f>(VLOOKUP($E$1,TIPOLOGÍAS!$B:$DC,61,FALSE))+VLOOKUP($E$1,TIPOLOGÍAS!$B:$DC,66,FALSE)</f>
        <v>0.12</v>
      </c>
      <c r="J24" s="234"/>
    </row>
    <row r="25" spans="1:10" s="244" customFormat="1" ht="14.45" customHeight="1" outlineLevel="1" thickBot="1">
      <c r="A25" s="256" t="str">
        <f>"Mtto.  en "&amp;     TEXT(VLOOKUP($E$1,TIPOLOGÍAS!$B:$DC,67,FALSE),"mmm aaa")</f>
        <v>Mtto.  en feb 1900</v>
      </c>
      <c r="B25" s="255">
        <f>VLOOKUP($E$1,TIPOLOGÍAS!$B:$DC,66,FALSE)</f>
        <v>0</v>
      </c>
      <c r="D25" s="254" t="s">
        <v>609</v>
      </c>
      <c r="E25" s="253">
        <f>E23-E24</f>
        <v>1175895.9062995603</v>
      </c>
      <c r="J25" s="234"/>
    </row>
    <row r="26" spans="1:10" s="244" customFormat="1" ht="13.5" thickBot="1">
      <c r="A26" s="252" t="str">
        <f>"Mtto. en "&amp;     TEXT(VLOOKUP($E$1,TIPOLOGÍAS!$B:$DC,69,FALSE),"mmm aaa")&amp;" con inflación del "&amp;TEXT(TIPOLOGÍAS!BY1,"0.0%")</f>
        <v>Mtto. en nov 2025 con inflación del 6.8%</v>
      </c>
      <c r="B26" s="251">
        <f>VLOOKUP($E$1,TIPOLOGÍAS!$B:$DC,68,FALSE)</f>
        <v>3960</v>
      </c>
      <c r="D26" s="250" t="str">
        <f>"Renta al finalizar el crédito en "&amp;TEXT(VLOOKUP($E$1,TIPOLOGÍAS!$B:$DC,76,FALSE),"mmm aaa")</f>
        <v>Renta al finalizar el crédito en ene 1900</v>
      </c>
      <c r="E26" s="249">
        <f>VLOOKUP($E$1,TIPOLOGÍAS!$B:$DC,75,FALSE)</f>
        <v>45993</v>
      </c>
      <c r="J26" s="234"/>
    </row>
    <row r="27" spans="1:10" s="244" customFormat="1" ht="15.75" outlineLevel="1" thickBot="1">
      <c r="A27" s="248" t="str">
        <f>"Total de mantenimiento en "&amp;VLOOKUP($E$1,TIPOLOGÍAS!$B:$DC,60,FALSE)&amp;" años"</f>
        <v>Total de mantenimiento en 45962 años</v>
      </c>
      <c r="B27" s="247">
        <f>VLOOKUP($E$1,TIPOLOGÍAS!$B:$DC,70,FALSE)</f>
        <v>9947.0138723759464</v>
      </c>
      <c r="D27" s="246" t="s">
        <v>610</v>
      </c>
      <c r="E27" s="245">
        <f>(VLOOKUP($E$1,TIPOLOGÍAS!$B:$DC,61,FALSE))+VLOOKUP($E$1,TIPOLOGÍAS!$B:$DC,68,FALSE)</f>
        <v>3960.12</v>
      </c>
      <c r="J27" s="234"/>
    </row>
    <row r="28" spans="1:10" ht="15.75" thickBot="1">
      <c r="A28" s="240" t="str">
        <f>"En "&amp;((VLOOKUP($E$1,TIPOLOGÍAS!$B:$DC,60,FALSE))&amp;" años:")</f>
        <v>En 45962 años:</v>
      </c>
      <c r="B28" s="243">
        <f>B24+B27</f>
        <v>55965.146689587447</v>
      </c>
      <c r="D28" s="242" t="s">
        <v>609</v>
      </c>
      <c r="E28" s="241">
        <f>E26-E27</f>
        <v>42032.88</v>
      </c>
      <c r="J28" s="234"/>
    </row>
    <row r="29" spans="1:10">
      <c r="A29" s="240"/>
      <c r="B29" s="228" t="str">
        <f>"Promedio mensual de "&amp;TEXT((B28/VLOOKUP($E$1,TIPOLOGÍAS!$B:$DC,60,FALSE)/12),"$0,0")</f>
        <v>Promedio mensual de $00</v>
      </c>
      <c r="H29" s="234"/>
      <c r="I29" s="234"/>
      <c r="J29" s="234"/>
    </row>
    <row r="30" spans="1:10">
      <c r="H30" s="234"/>
      <c r="I30" s="234"/>
      <c r="J30" s="234"/>
    </row>
    <row r="31" spans="1:10">
      <c r="A31" s="239"/>
      <c r="B31" s="239"/>
      <c r="C31" s="239"/>
      <c r="D31" s="239"/>
      <c r="E31" s="239"/>
      <c r="H31" s="234"/>
      <c r="I31" s="234"/>
      <c r="J31" s="234"/>
    </row>
    <row r="32" spans="1:10">
      <c r="A32" s="238" t="s">
        <v>608</v>
      </c>
      <c r="B32" s="238"/>
      <c r="D32" s="586" t="s">
        <v>607</v>
      </c>
      <c r="E32" s="586"/>
      <c r="H32" s="234"/>
      <c r="I32" s="234"/>
      <c r="J32" s="234"/>
    </row>
    <row r="33" spans="1:10" ht="15" customHeight="1">
      <c r="A33" s="237" t="str">
        <f>"Egresos en "&amp;TEXT((((VLOOKUP($E$1,TIPOLOGÍAS!$B:$DC,60,FALSE))*12+(VLOOKUP($E$1,TIPOLOGÍAS!$B:$DC,43,FALSE)+3))/12),"0.0")&amp;" años:"</f>
        <v>Egresos en 45962.3 años:</v>
      </c>
      <c r="B33" s="236">
        <f>B19+B28</f>
        <v>2019049.8466895872</v>
      </c>
      <c r="D33" s="227" t="str">
        <f>TEXT(VLOOKUP($E$1,TIPOLOGÍAS!$B:$DC,76,FALSE),"mmm aaa")&amp;" con plusvalía anual del "&amp;TEXT(TIPOLOGÍAS!BY1,"0.0%")&amp;":"</f>
        <v>ene 1900 con plusvalía anual del 6.8%:</v>
      </c>
      <c r="E33" s="235">
        <f ca="1">VLOOKUP($E$1,TIPOLOGÍAS!$B:$DC,90,FALSE)</f>
        <v>14.690622861054074</v>
      </c>
      <c r="H33" s="234"/>
      <c r="I33" s="234"/>
      <c r="J33" s="234"/>
    </row>
    <row r="34" spans="1:10">
      <c r="B34" s="233" t="str">
        <f>"Promedio mensual de:  "&amp;TEXT((B33/((VLOOKUP($E$1,TIPOLOGÍAS!$B:$DC,60,FALSE))*12+(VLOOKUP($E$1,TIPOLOGÍAS!$B:$DC,43,FALSE)+3))),"$0,0")</f>
        <v>Promedio mensual de:  $04</v>
      </c>
      <c r="D34" s="227" t="s">
        <v>606</v>
      </c>
      <c r="E34" s="232" t="e">
        <f ca="1">RATE((((VLOOKUP($E$1,TIPOLOGÍAS!$B:$DC,60,FALSE))*12+(VLOOKUP($E$1,TIPOLOGÍAS!$B:$DC,43,FALSE)+3))),B37/VLOOKUP($E$1,TIPOLOGÍAS!$B:$DC,60,FALSE)/12,,E33)*12</f>
        <v>#NUM!</v>
      </c>
    </row>
    <row r="35" spans="1:10" ht="15" customHeight="1">
      <c r="A35" s="231" t="str">
        <f>"Ingresos  en "&amp;VLOOKUP($E$1,TIPOLOGÍAS!$B:$DC,60,FALSE)&amp;" años al "&amp;TEXT((TIPOLOGÍAS!CB1/12),"0%")&amp;" de ocupación:"</f>
        <v>Ingresos  en 45962 años al 92% de ocupación:</v>
      </c>
      <c r="B35" s="230">
        <f>VLOOKUP($E$1,TIPOLOGÍAS!$B:$DC,78,FALSE)</f>
        <v>51409.75</v>
      </c>
      <c r="D35" s="227" t="s">
        <v>605</v>
      </c>
      <c r="E35" s="229">
        <f>VLOOKUP($E$1,TIPOLOGÍAS!$B:$DC,75,FALSE)</f>
        <v>45993</v>
      </c>
    </row>
    <row r="36" spans="1:10">
      <c r="A36" s="225"/>
      <c r="B36" s="228" t="str">
        <f>"Promedio mensual de:  "&amp;TEXT((B35/VLOOKUP($E$1,TIPOLOGÍAS!$B:$DC,60,FALSE))/12,"$0,0")</f>
        <v>Promedio mensual de:  $00</v>
      </c>
    </row>
    <row r="37" spans="1:10">
      <c r="A37" s="227" t="s">
        <v>604</v>
      </c>
      <c r="B37" s="226">
        <f>B35-B33</f>
        <v>-1967640.0966895872</v>
      </c>
    </row>
    <row r="38" spans="1:10">
      <c r="A38" s="225"/>
      <c r="B38" s="224" t="str">
        <f>"Promedio mensual en "&amp;TEXT((((VLOOKUP($E$1,TIPOLOGÍAS!$B:$DC,60,FALSE))*12+(VLOOKUP($E$1,TIPOLOGÍAS!$B:$DC,43,FALSE)+3))/12),"0.0")&amp;" años:  "                                     &amp;TEXT(B37/VLOOKUP($E$1,TIPOLOGÍAS!$B:$DC,60,FALSE)/12,"$0,0")</f>
        <v>Promedio mensual en 45962.3 años:  -$04</v>
      </c>
    </row>
    <row r="40" spans="1:10">
      <c r="A40" s="223"/>
      <c r="B40" s="222"/>
    </row>
    <row r="41" spans="1:10" ht="24.6" customHeight="1">
      <c r="A41" s="578"/>
      <c r="B41" s="578"/>
      <c r="C41" s="578"/>
      <c r="D41" s="578"/>
      <c r="E41" s="578"/>
    </row>
    <row r="42" spans="1:10">
      <c r="A42" s="221"/>
      <c r="B42" s="221"/>
      <c r="C42" s="221"/>
      <c r="D42" s="221"/>
      <c r="E42" s="221"/>
      <c r="F42" s="221"/>
      <c r="G42" s="221"/>
    </row>
    <row r="43" spans="1:10" ht="29.45" customHeight="1">
      <c r="A43" s="579"/>
      <c r="B43" s="579"/>
      <c r="C43" s="579"/>
      <c r="D43" s="579"/>
      <c r="E43" s="579"/>
      <c r="F43" s="220"/>
      <c r="G43" s="220"/>
    </row>
    <row r="44" spans="1:10">
      <c r="A44" s="220"/>
      <c r="B44" s="220"/>
      <c r="C44" s="220"/>
      <c r="D44" s="220"/>
      <c r="E44" s="220"/>
      <c r="F44" s="220"/>
      <c r="G44" s="220"/>
    </row>
    <row r="45" spans="1:10">
      <c r="A45" s="219"/>
      <c r="B45" s="219"/>
      <c r="C45" s="219"/>
      <c r="D45" s="219"/>
      <c r="E45" s="219"/>
      <c r="F45" s="219"/>
      <c r="G45" s="219"/>
    </row>
  </sheetData>
  <mergeCells count="8">
    <mergeCell ref="A41:E41"/>
    <mergeCell ref="A43:E43"/>
    <mergeCell ref="A6:E6"/>
    <mergeCell ref="A12:E12"/>
    <mergeCell ref="A14:B14"/>
    <mergeCell ref="A22:B22"/>
    <mergeCell ref="D22:E22"/>
    <mergeCell ref="D32:E32"/>
  </mergeCells>
  <pageMargins left="0.25" right="0.25" top="0.75" bottom="0.75" header="0.3" footer="0.3"/>
  <pageSetup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B641-B938-42AF-9539-93F655A3A794}">
  <dimension ref="A1:DH71"/>
  <sheetViews>
    <sheetView topLeftCell="A41" zoomScale="70" zoomScaleNormal="70" workbookViewId="0">
      <selection activeCell="V66" sqref="V66"/>
    </sheetView>
  </sheetViews>
  <sheetFormatPr baseColWidth="10" defaultColWidth="11.5703125" defaultRowHeight="15" outlineLevelCol="1"/>
  <cols>
    <col min="1" max="1" width="4" style="1" bestFit="1" customWidth="1"/>
    <col min="2" max="2" width="1.7109375" style="1" customWidth="1"/>
    <col min="3" max="3" width="15.140625" style="1" customWidth="1"/>
    <col min="4" max="4" width="1.7109375" style="1" customWidth="1"/>
    <col min="5" max="5" width="11.5703125" style="1" bestFit="1" customWidth="1"/>
    <col min="6" max="6" width="15.28515625" style="1" customWidth="1"/>
    <col min="7" max="7" width="1.7109375" style="1" customWidth="1"/>
    <col min="8" max="8" width="19.140625" style="1" customWidth="1"/>
    <col min="9" max="9" width="2.28515625" style="1" customWidth="1"/>
    <col min="10" max="11" width="17.7109375" style="1" customWidth="1"/>
    <col min="12" max="16" width="7.42578125" style="1" bestFit="1" customWidth="1"/>
    <col min="17" max="17" width="12.42578125" style="1" bestFit="1" customWidth="1"/>
    <col min="18" max="21" width="2.28515625" style="1" customWidth="1"/>
    <col min="22" max="22" width="33.28515625" style="1" customWidth="1"/>
    <col min="23" max="23" width="6.7109375" style="1" customWidth="1"/>
    <col min="24" max="24" width="1.7109375" style="1" customWidth="1"/>
    <col min="25" max="25" width="19.85546875" style="1" customWidth="1"/>
    <col min="26" max="26" width="1.7109375" style="1" customWidth="1"/>
    <col min="27" max="27" width="23.7109375" style="1" customWidth="1"/>
    <col min="28" max="28" width="1.7109375" style="1" customWidth="1"/>
    <col min="29" max="29" width="23.7109375" style="1" customWidth="1"/>
    <col min="30" max="30" width="2.7109375" style="1" customWidth="1"/>
    <col min="31" max="31" width="46.7109375" style="1" bestFit="1" customWidth="1"/>
    <col min="32" max="32" width="2.7109375" style="1" customWidth="1"/>
    <col min="33" max="33" width="36.28515625" style="1" bestFit="1" customWidth="1"/>
    <col min="34" max="34" width="1.7109375" style="1" customWidth="1"/>
    <col min="35" max="35" width="27.7109375" style="1" bestFit="1" customWidth="1"/>
    <col min="36" max="36" width="3.140625" style="1" customWidth="1"/>
    <col min="37" max="37" width="11.5703125" style="1"/>
    <col min="38" max="38" width="3" style="1" customWidth="1"/>
    <col min="39" max="39" width="3.5703125" style="1" bestFit="1" customWidth="1"/>
    <col min="40" max="40" width="3" style="1" bestFit="1" customWidth="1"/>
    <col min="41" max="46" width="6" style="1" bestFit="1" customWidth="1"/>
    <col min="47" max="47" width="2.28515625" style="1" customWidth="1"/>
    <col min="48" max="48" width="13.42578125" style="1" bestFit="1" customWidth="1"/>
    <col min="49" max="50" width="3.140625" style="1" customWidth="1"/>
    <col min="51" max="51" width="12.85546875" style="1" bestFit="1" customWidth="1"/>
    <col min="52" max="55" width="11.5703125" style="1" customWidth="1"/>
    <col min="56" max="60" width="11.5703125" style="1" customWidth="1" outlineLevel="1"/>
    <col min="61" max="62" width="11.5703125" style="1" customWidth="1"/>
    <col min="63" max="71" width="11.5703125" style="1"/>
    <col min="72" max="72" width="11.5703125" style="1" customWidth="1"/>
    <col min="73" max="81" width="11.5703125" style="1" customWidth="1" outlineLevel="1"/>
    <col min="82" max="82" width="11.5703125" style="1"/>
    <col min="83" max="91" width="11.5703125" style="1" hidden="1" customWidth="1" outlineLevel="1"/>
    <col min="92" max="92" width="11.5703125" style="1" collapsed="1"/>
    <col min="93" max="101" width="11.5703125" style="1" hidden="1" customWidth="1" outlineLevel="1"/>
    <col min="102" max="102" width="11.5703125" style="1" collapsed="1"/>
    <col min="103" max="111" width="11.5703125" style="1" hidden="1" customWidth="1" outlineLevel="1"/>
    <col min="112" max="112" width="11.5703125" style="1" collapsed="1"/>
    <col min="113" max="16384" width="11.5703125" style="1"/>
  </cols>
  <sheetData>
    <row r="1" spans="1:111">
      <c r="Y1" s="1" t="s">
        <v>68</v>
      </c>
    </row>
    <row r="2" spans="1:111">
      <c r="C2" s="66" t="s">
        <v>159</v>
      </c>
      <c r="E2" s="587" t="s">
        <v>732</v>
      </c>
      <c r="F2" s="588"/>
      <c r="H2" s="65" t="s">
        <v>158</v>
      </c>
      <c r="J2" s="598" t="s">
        <v>461</v>
      </c>
      <c r="K2" s="599"/>
      <c r="L2" s="391" t="s">
        <v>735</v>
      </c>
      <c r="M2" s="391" t="s">
        <v>736</v>
      </c>
      <c r="N2" s="391" t="s">
        <v>737</v>
      </c>
      <c r="O2" s="391" t="s">
        <v>738</v>
      </c>
      <c r="P2" s="391" t="s">
        <v>739</v>
      </c>
      <c r="Q2" s="391" t="s">
        <v>740</v>
      </c>
      <c r="V2" s="5" t="s">
        <v>67</v>
      </c>
      <c r="Y2" s="5" t="s">
        <v>0</v>
      </c>
      <c r="AA2" s="5" t="s">
        <v>53</v>
      </c>
      <c r="AC2" s="5" t="s">
        <v>1</v>
      </c>
      <c r="AE2" s="5" t="s">
        <v>48</v>
      </c>
      <c r="AG2" s="5" t="s">
        <v>12</v>
      </c>
      <c r="AI2" s="5" t="s">
        <v>688</v>
      </c>
      <c r="AK2" s="5" t="s">
        <v>106</v>
      </c>
      <c r="AO2" s="589" t="s">
        <v>743</v>
      </c>
      <c r="AP2" s="589"/>
      <c r="AQ2" s="589"/>
      <c r="AR2" s="589"/>
      <c r="AS2" s="589"/>
      <c r="AT2" s="589"/>
      <c r="AV2" s="5" t="s">
        <v>141</v>
      </c>
      <c r="AY2" s="595" t="s">
        <v>159</v>
      </c>
      <c r="AZ2" s="596"/>
      <c r="BA2" s="596"/>
      <c r="BB2" s="596"/>
      <c r="BC2" s="596"/>
      <c r="BD2" s="596"/>
      <c r="BE2" s="596"/>
      <c r="BF2" s="596"/>
      <c r="BG2" s="596"/>
      <c r="BH2" s="597"/>
      <c r="BJ2" s="590" t="s">
        <v>158</v>
      </c>
      <c r="BK2" s="591"/>
      <c r="BL2" s="591"/>
      <c r="BM2" s="591"/>
      <c r="BN2" s="591"/>
      <c r="BO2" s="591"/>
      <c r="BP2" s="591"/>
      <c r="BQ2" s="591"/>
      <c r="BR2" s="591"/>
      <c r="BS2" s="592"/>
      <c r="BT2" s="590" t="s">
        <v>158</v>
      </c>
      <c r="BU2" s="591"/>
      <c r="BV2" s="591"/>
      <c r="BW2" s="591"/>
      <c r="BX2" s="591"/>
      <c r="BY2" s="591"/>
      <c r="BZ2" s="591"/>
      <c r="CA2" s="591"/>
      <c r="CB2" s="591"/>
      <c r="CC2" s="591"/>
      <c r="CD2" s="591"/>
      <c r="CE2" s="591"/>
      <c r="CF2" s="591"/>
      <c r="CG2" s="591"/>
      <c r="CH2" s="591"/>
      <c r="CI2" s="591"/>
      <c r="CJ2" s="591"/>
      <c r="CK2" s="591"/>
      <c r="CL2" s="591"/>
      <c r="CM2" s="591"/>
      <c r="CN2" s="591"/>
      <c r="CO2" s="591"/>
      <c r="CP2" s="591"/>
      <c r="CQ2" s="591"/>
      <c r="CR2" s="591"/>
      <c r="CS2" s="591"/>
      <c r="CT2" s="591"/>
      <c r="CU2" s="591"/>
      <c r="CV2" s="591"/>
      <c r="CW2" s="591"/>
      <c r="CX2" s="591"/>
      <c r="CY2" s="591"/>
      <c r="CZ2" s="591"/>
      <c r="DA2" s="591"/>
      <c r="DB2" s="591"/>
      <c r="DC2" s="591"/>
      <c r="DD2" s="591"/>
      <c r="DE2" s="591"/>
      <c r="DF2" s="591"/>
      <c r="DG2" s="592"/>
    </row>
    <row r="3" spans="1:111">
      <c r="A3" s="3">
        <v>1</v>
      </c>
      <c r="C3" s="70" t="str">
        <f>Monterrey[[#Headers],[Monterrey]]</f>
        <v>Monterrey</v>
      </c>
      <c r="E3" s="390" t="s">
        <v>160</v>
      </c>
      <c r="F3" s="4" t="s">
        <v>161</v>
      </c>
      <c r="H3" s="70" t="str">
        <f>AISEN[[#Headers],[AISEN]]</f>
        <v>AISEN</v>
      </c>
      <c r="J3" s="390" t="s">
        <v>727</v>
      </c>
      <c r="K3" s="4" t="s">
        <v>728</v>
      </c>
      <c r="L3" s="4" t="s">
        <v>161</v>
      </c>
      <c r="M3" s="4" t="s">
        <v>138</v>
      </c>
      <c r="N3" s="4" t="s">
        <v>161</v>
      </c>
      <c r="O3" s="4" t="s">
        <v>161</v>
      </c>
      <c r="P3" s="4" t="s">
        <v>165</v>
      </c>
      <c r="Q3" s="4" t="s">
        <v>138</v>
      </c>
      <c r="V3" s="4"/>
      <c r="Y3" s="4" t="s">
        <v>37</v>
      </c>
      <c r="AA3" s="4" t="s">
        <v>34</v>
      </c>
      <c r="AC3" s="4" t="s">
        <v>49</v>
      </c>
      <c r="AE3" s="593" t="s">
        <v>93</v>
      </c>
      <c r="AG3" s="4" t="s">
        <v>472</v>
      </c>
      <c r="AI3" s="4" t="s">
        <v>687</v>
      </c>
      <c r="AK3" s="4"/>
      <c r="AO3" s="394">
        <v>0.04</v>
      </c>
      <c r="AP3" s="394">
        <v>0.05</v>
      </c>
      <c r="AQ3" s="394">
        <v>0.06</v>
      </c>
      <c r="AR3" s="394">
        <v>7.0000000000000007E-2</v>
      </c>
      <c r="AS3" s="394">
        <v>0.08</v>
      </c>
      <c r="AT3" s="394">
        <v>0.09</v>
      </c>
      <c r="AV3" s="14">
        <v>5</v>
      </c>
      <c r="AY3" s="69" t="s">
        <v>160</v>
      </c>
      <c r="AZ3" s="69" t="s">
        <v>329</v>
      </c>
      <c r="BA3" s="69" t="s">
        <v>330</v>
      </c>
      <c r="BB3" s="69" t="s">
        <v>331</v>
      </c>
      <c r="BC3" s="69" t="s">
        <v>221</v>
      </c>
      <c r="BD3" s="69" t="s">
        <v>222</v>
      </c>
      <c r="BE3" s="69" t="s">
        <v>223</v>
      </c>
      <c r="BF3" s="69" t="s">
        <v>224</v>
      </c>
      <c r="BG3" s="69" t="s">
        <v>225</v>
      </c>
      <c r="BH3" s="69" t="s">
        <v>226</v>
      </c>
      <c r="BJ3" s="69" t="s">
        <v>100</v>
      </c>
      <c r="BK3" s="69" t="s">
        <v>101</v>
      </c>
      <c r="BL3" s="69" t="s">
        <v>227</v>
      </c>
      <c r="BM3" s="69" t="s">
        <v>259</v>
      </c>
      <c r="BN3" s="69" t="s">
        <v>228</v>
      </c>
      <c r="BO3" s="69" t="s">
        <v>103</v>
      </c>
      <c r="BP3" s="69" t="s">
        <v>229</v>
      </c>
      <c r="BQ3" s="69" t="s">
        <v>102</v>
      </c>
      <c r="BR3" s="69" t="s">
        <v>230</v>
      </c>
      <c r="BS3" s="69" t="s">
        <v>98</v>
      </c>
      <c r="BT3" s="69" t="s">
        <v>231</v>
      </c>
      <c r="BU3" s="69" t="s">
        <v>104</v>
      </c>
      <c r="BV3" s="69" t="s">
        <v>105</v>
      </c>
      <c r="BW3" s="69" t="s">
        <v>233</v>
      </c>
      <c r="BX3" s="69" t="s">
        <v>260</v>
      </c>
      <c r="BY3" s="69" t="s">
        <v>99</v>
      </c>
      <c r="BZ3" s="69" t="s">
        <v>234</v>
      </c>
      <c r="CA3" s="69" t="s">
        <v>232</v>
      </c>
      <c r="CB3" s="69" t="s">
        <v>188</v>
      </c>
      <c r="CC3" s="69" t="s">
        <v>190</v>
      </c>
      <c r="CD3" s="69" t="s">
        <v>191</v>
      </c>
      <c r="CE3" s="69" t="s">
        <v>192</v>
      </c>
      <c r="CF3" s="69" t="s">
        <v>193</v>
      </c>
      <c r="CG3" s="69" t="s">
        <v>194</v>
      </c>
      <c r="CH3" s="69" t="s">
        <v>195</v>
      </c>
      <c r="CI3" s="69" t="s">
        <v>196</v>
      </c>
      <c r="CJ3" s="69" t="s">
        <v>197</v>
      </c>
      <c r="CK3" s="69" t="s">
        <v>198</v>
      </c>
      <c r="CL3" s="69" t="s">
        <v>199</v>
      </c>
      <c r="CM3" s="69" t="s">
        <v>200</v>
      </c>
      <c r="CN3" s="69" t="s">
        <v>201</v>
      </c>
      <c r="CO3" s="69" t="s">
        <v>202</v>
      </c>
      <c r="CP3" s="69" t="s">
        <v>203</v>
      </c>
      <c r="CQ3" s="69" t="s">
        <v>204</v>
      </c>
      <c r="CR3" s="69" t="s">
        <v>205</v>
      </c>
      <c r="CS3" s="69" t="s">
        <v>206</v>
      </c>
      <c r="CT3" s="69" t="s">
        <v>207</v>
      </c>
      <c r="CU3" s="69" t="s">
        <v>208</v>
      </c>
      <c r="CV3" s="69" t="s">
        <v>209</v>
      </c>
      <c r="CW3" s="69" t="s">
        <v>210</v>
      </c>
      <c r="CX3" s="69" t="s">
        <v>211</v>
      </c>
      <c r="CY3" s="69" t="s">
        <v>212</v>
      </c>
      <c r="CZ3" s="69" t="s">
        <v>213</v>
      </c>
      <c r="DA3" s="69" t="s">
        <v>214</v>
      </c>
      <c r="DB3" s="69" t="s">
        <v>215</v>
      </c>
      <c r="DC3" s="69" t="s">
        <v>216</v>
      </c>
      <c r="DD3" s="69" t="s">
        <v>217</v>
      </c>
      <c r="DE3" s="69" t="s">
        <v>218</v>
      </c>
      <c r="DF3" s="69" t="s">
        <v>219</v>
      </c>
      <c r="DG3" s="69" t="s">
        <v>220</v>
      </c>
    </row>
    <row r="4" spans="1:111">
      <c r="A4" s="3">
        <v>2</v>
      </c>
      <c r="C4" s="70" t="str">
        <f>Saltillo[[#Headers],[Saltillo]]</f>
        <v>Saltillo</v>
      </c>
      <c r="E4" s="390" t="s">
        <v>160</v>
      </c>
      <c r="F4" s="4" t="s">
        <v>733</v>
      </c>
      <c r="H4" s="70" t="str">
        <f>ALTIO[[#Headers],[ALTIO]]</f>
        <v>ALTIO</v>
      </c>
      <c r="J4" s="390" t="s">
        <v>98</v>
      </c>
      <c r="K4" s="4" t="s">
        <v>173</v>
      </c>
      <c r="L4" s="4" t="s">
        <v>733</v>
      </c>
      <c r="M4" s="4" t="s">
        <v>734</v>
      </c>
      <c r="N4" s="4" t="s">
        <v>161</v>
      </c>
      <c r="O4" s="4" t="s">
        <v>733</v>
      </c>
      <c r="P4" s="4" t="s">
        <v>166</v>
      </c>
      <c r="Q4" s="4" t="s">
        <v>734</v>
      </c>
      <c r="V4" s="4" t="s">
        <v>468</v>
      </c>
      <c r="Y4" s="4" t="s">
        <v>38</v>
      </c>
      <c r="AA4" s="4" t="s">
        <v>35</v>
      </c>
      <c r="AC4" s="4" t="s">
        <v>50</v>
      </c>
      <c r="AE4" s="594"/>
      <c r="AG4" s="4" t="s">
        <v>473</v>
      </c>
      <c r="AI4" s="4" t="s">
        <v>689</v>
      </c>
      <c r="AK4" s="4" t="s">
        <v>107</v>
      </c>
      <c r="AM4" s="510" t="s">
        <v>126</v>
      </c>
      <c r="AN4" s="5">
        <v>5</v>
      </c>
      <c r="AO4" s="395">
        <v>1.0832645120000002</v>
      </c>
      <c r="AP4" s="395">
        <v>1.1051262500000001</v>
      </c>
      <c r="AQ4" s="395">
        <v>1.1274185920000004</v>
      </c>
      <c r="AR4" s="395">
        <v>1.150147802</v>
      </c>
      <c r="AS4" s="395">
        <v>1.173320192</v>
      </c>
      <c r="AT4" s="395">
        <v>1.1969421220000001</v>
      </c>
      <c r="AV4" s="14">
        <v>10</v>
      </c>
      <c r="AY4" s="14" t="s">
        <v>163</v>
      </c>
      <c r="AZ4" s="23" t="s">
        <v>161</v>
      </c>
      <c r="BA4" s="23" t="s">
        <v>332</v>
      </c>
      <c r="BB4" s="23" t="s">
        <v>335</v>
      </c>
      <c r="BC4" s="23" t="s">
        <v>262</v>
      </c>
      <c r="BD4" s="23" t="s">
        <v>263</v>
      </c>
      <c r="BE4" s="23" t="s">
        <v>264</v>
      </c>
      <c r="BF4" s="23" t="s">
        <v>265</v>
      </c>
      <c r="BG4" s="23" t="s">
        <v>266</v>
      </c>
      <c r="BH4" s="23" t="s">
        <v>267</v>
      </c>
      <c r="BJ4" s="23" t="s">
        <v>236</v>
      </c>
      <c r="BK4" s="23" t="s">
        <v>175</v>
      </c>
      <c r="BL4" s="23" t="s">
        <v>181</v>
      </c>
      <c r="BM4" s="23" t="s">
        <v>235</v>
      </c>
      <c r="BN4" s="23" t="s">
        <v>237</v>
      </c>
      <c r="BO4" s="23" t="s">
        <v>238</v>
      </c>
      <c r="BP4" s="23" t="s">
        <v>240</v>
      </c>
      <c r="BQ4" s="23" t="s">
        <v>182</v>
      </c>
      <c r="BR4" s="23" t="s">
        <v>241</v>
      </c>
      <c r="BS4" s="23" t="s">
        <v>174</v>
      </c>
      <c r="BT4" s="23" t="s">
        <v>246</v>
      </c>
      <c r="BU4" s="23" t="s">
        <v>183</v>
      </c>
      <c r="BV4" s="23" t="s">
        <v>184</v>
      </c>
      <c r="BW4" s="23" t="s">
        <v>252</v>
      </c>
      <c r="BX4" s="23" t="s">
        <v>253</v>
      </c>
      <c r="BY4" s="23" t="s">
        <v>187</v>
      </c>
      <c r="BZ4" s="23" t="s">
        <v>258</v>
      </c>
      <c r="CA4" s="23" t="s">
        <v>261</v>
      </c>
      <c r="CB4" s="23" t="s">
        <v>322</v>
      </c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</row>
    <row r="5" spans="1:111">
      <c r="A5" s="3">
        <v>3</v>
      </c>
      <c r="C5" s="70" t="str">
        <f>Guadalajara[[#Headers],[Guadalajara]]</f>
        <v>Guadalajara</v>
      </c>
      <c r="E5" s="390" t="s">
        <v>160</v>
      </c>
      <c r="F5" s="4" t="s">
        <v>162</v>
      </c>
      <c r="H5" s="70" t="str">
        <f>BIRLOK[[#Headers],[BIRLOK]]</f>
        <v>BIRLOK</v>
      </c>
      <c r="J5" s="390" t="s">
        <v>98</v>
      </c>
      <c r="K5" s="4" t="s">
        <v>174</v>
      </c>
      <c r="L5" s="4" t="s">
        <v>162</v>
      </c>
      <c r="M5" s="4" t="s">
        <v>164</v>
      </c>
      <c r="N5" s="4" t="s">
        <v>733</v>
      </c>
      <c r="O5" s="4" t="s">
        <v>162</v>
      </c>
      <c r="P5" s="4" t="s">
        <v>541</v>
      </c>
      <c r="Q5" s="4" t="s">
        <v>164</v>
      </c>
      <c r="V5" s="4" t="s">
        <v>469</v>
      </c>
      <c r="Y5" s="4" t="s">
        <v>27</v>
      </c>
      <c r="AA5" s="4" t="s">
        <v>24</v>
      </c>
      <c r="AC5" s="4" t="s">
        <v>51</v>
      </c>
      <c r="AE5" s="594"/>
      <c r="AG5" s="4" t="s">
        <v>474</v>
      </c>
      <c r="AI5" s="4" t="s">
        <v>690</v>
      </c>
      <c r="AK5" s="4" t="s">
        <v>108</v>
      </c>
      <c r="AM5" s="510"/>
      <c r="AN5" s="5">
        <v>10</v>
      </c>
      <c r="AO5" s="395">
        <v>1.2006107122958602</v>
      </c>
      <c r="AP5" s="395">
        <v>1.2577892535548831</v>
      </c>
      <c r="AQ5" s="395">
        <v>1.3180794942380898</v>
      </c>
      <c r="AR5" s="395">
        <v>1.3816447961279508</v>
      </c>
      <c r="AS5" s="395">
        <v>1.4486562465909838</v>
      </c>
      <c r="AT5" s="395">
        <v>1.51929297176902</v>
      </c>
      <c r="AV5" s="14">
        <v>15</v>
      </c>
      <c r="AY5" s="14" t="s">
        <v>164</v>
      </c>
      <c r="AZ5" s="23" t="s">
        <v>138</v>
      </c>
      <c r="BA5" s="23" t="s">
        <v>333</v>
      </c>
      <c r="BB5" s="23" t="s">
        <v>336</v>
      </c>
      <c r="BC5" s="23" t="s">
        <v>268</v>
      </c>
      <c r="BD5" s="23" t="s">
        <v>269</v>
      </c>
      <c r="BE5" s="23" t="s">
        <v>270</v>
      </c>
      <c r="BF5" s="23" t="s">
        <v>271</v>
      </c>
      <c r="BG5" s="23" t="s">
        <v>272</v>
      </c>
      <c r="BH5" s="23" t="s">
        <v>273</v>
      </c>
      <c r="BJ5" s="23" t="s">
        <v>189</v>
      </c>
      <c r="BK5" s="23" t="s">
        <v>176</v>
      </c>
      <c r="BL5" s="23" t="s">
        <v>189</v>
      </c>
      <c r="BM5" s="23" t="s">
        <v>189</v>
      </c>
      <c r="BN5" s="23" t="s">
        <v>189</v>
      </c>
      <c r="BO5" s="23" t="s">
        <v>239</v>
      </c>
      <c r="BP5" s="23" t="s">
        <v>189</v>
      </c>
      <c r="BQ5" s="23" t="s">
        <v>189</v>
      </c>
      <c r="BR5" s="23" t="s">
        <v>242</v>
      </c>
      <c r="BS5" s="23" t="s">
        <v>244</v>
      </c>
      <c r="BT5" s="23" t="s">
        <v>247</v>
      </c>
      <c r="BU5" s="23" t="s">
        <v>189</v>
      </c>
      <c r="BV5" s="23" t="s">
        <v>249</v>
      </c>
      <c r="BW5" s="23" t="s">
        <v>189</v>
      </c>
      <c r="BX5" s="23" t="s">
        <v>177</v>
      </c>
      <c r="BY5" s="23" t="s">
        <v>256</v>
      </c>
      <c r="BZ5" s="23" t="s">
        <v>189</v>
      </c>
      <c r="CA5" s="23" t="s">
        <v>189</v>
      </c>
      <c r="CB5" s="23" t="s">
        <v>189</v>
      </c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</row>
    <row r="6" spans="1:111">
      <c r="A6" s="3">
        <v>4</v>
      </c>
      <c r="C6" s="70" t="str">
        <f>CDMX[[#Headers],[CDMX]]</f>
        <v>CDMX</v>
      </c>
      <c r="E6" s="390" t="s">
        <v>160</v>
      </c>
      <c r="F6" s="4" t="s">
        <v>163</v>
      </c>
      <c r="H6" s="70" t="str">
        <f>_C3CO[[#Headers],[_C3CO]]</f>
        <v>_C3CO</v>
      </c>
      <c r="J6" s="390" t="s">
        <v>101</v>
      </c>
      <c r="K6" s="4" t="s">
        <v>175</v>
      </c>
      <c r="L6" s="4" t="s">
        <v>163</v>
      </c>
      <c r="M6" s="4" t="s">
        <v>543</v>
      </c>
      <c r="N6" s="4" t="s">
        <v>162</v>
      </c>
      <c r="O6" s="4" t="s">
        <v>163</v>
      </c>
      <c r="P6" s="4" t="s">
        <v>167</v>
      </c>
      <c r="Q6" s="4" t="s">
        <v>543</v>
      </c>
      <c r="V6" s="4" t="s">
        <v>470</v>
      </c>
      <c r="Y6" s="4" t="s">
        <v>22</v>
      </c>
      <c r="AA6" s="4" t="s">
        <v>25</v>
      </c>
      <c r="AC6" s="4" t="s">
        <v>66</v>
      </c>
      <c r="AE6" s="594"/>
      <c r="AG6" s="4" t="s">
        <v>91</v>
      </c>
      <c r="AI6" s="4"/>
      <c r="AK6" s="4" t="s">
        <v>109</v>
      </c>
      <c r="AM6" s="510"/>
      <c r="AN6" s="5">
        <v>15</v>
      </c>
      <c r="AO6" s="395">
        <v>1.3349058425115266</v>
      </c>
      <c r="AP6" s="395">
        <v>1.4385709058818237</v>
      </c>
      <c r="AQ6" s="395">
        <v>1.5517313256663228</v>
      </c>
      <c r="AR6" s="395">
        <v>1.6752681340146045</v>
      </c>
      <c r="AS6" s="395">
        <v>1.8101409284985581</v>
      </c>
      <c r="AT6" s="395">
        <v>1.9573944145833495</v>
      </c>
      <c r="AV6" s="14">
        <v>20</v>
      </c>
      <c r="AY6" s="14" t="s">
        <v>162</v>
      </c>
      <c r="AZ6" s="23" t="s">
        <v>112</v>
      </c>
      <c r="BA6" s="23" t="s">
        <v>334</v>
      </c>
      <c r="BB6" s="23" t="s">
        <v>337</v>
      </c>
      <c r="BC6" s="23" t="s">
        <v>274</v>
      </c>
      <c r="BD6" s="23" t="s">
        <v>275</v>
      </c>
      <c r="BE6" s="23" t="s">
        <v>276</v>
      </c>
      <c r="BF6" s="23" t="s">
        <v>277</v>
      </c>
      <c r="BG6" s="23" t="s">
        <v>278</v>
      </c>
      <c r="BH6" s="23" t="s">
        <v>279</v>
      </c>
      <c r="BJ6" s="23"/>
      <c r="BK6" s="23" t="s">
        <v>189</v>
      </c>
      <c r="BL6" s="23" t="s">
        <v>189</v>
      </c>
      <c r="BM6" s="23"/>
      <c r="BN6" s="23"/>
      <c r="BO6" s="23" t="s">
        <v>189</v>
      </c>
      <c r="BP6" s="23"/>
      <c r="BQ6" s="23" t="s">
        <v>189</v>
      </c>
      <c r="BR6" s="23" t="s">
        <v>243</v>
      </c>
      <c r="BS6" s="23" t="s">
        <v>245</v>
      </c>
      <c r="BT6" s="23" t="s">
        <v>248</v>
      </c>
      <c r="BU6" s="23" t="s">
        <v>189</v>
      </c>
      <c r="BV6" s="23" t="s">
        <v>250</v>
      </c>
      <c r="BW6" s="23"/>
      <c r="BX6" s="23" t="s">
        <v>178</v>
      </c>
      <c r="BY6" s="23" t="s">
        <v>257</v>
      </c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</row>
    <row r="7" spans="1:111">
      <c r="A7" s="3">
        <v>5</v>
      </c>
      <c r="C7" s="70" t="str">
        <f>C.5[[#Headers],[C.5]]</f>
        <v>C.5</v>
      </c>
      <c r="E7" s="390" t="s">
        <v>160</v>
      </c>
      <c r="F7" s="4" t="s">
        <v>138</v>
      </c>
      <c r="H7" s="70" t="str">
        <f>CAPITEL[[#Headers],[CAPITEL]]</f>
        <v>CAPITEL</v>
      </c>
      <c r="J7" s="390" t="s">
        <v>101</v>
      </c>
      <c r="K7" s="4" t="s">
        <v>176</v>
      </c>
      <c r="L7" s="4" t="s">
        <v>138</v>
      </c>
      <c r="M7" s="4" t="s">
        <v>165</v>
      </c>
      <c r="N7" s="4" t="s">
        <v>163</v>
      </c>
      <c r="O7" s="4" t="s">
        <v>161</v>
      </c>
      <c r="P7" s="4" t="s">
        <v>162</v>
      </c>
      <c r="Q7" s="4" t="s">
        <v>165</v>
      </c>
      <c r="V7" s="4" t="s">
        <v>471</v>
      </c>
      <c r="Y7" s="4" t="s">
        <v>41</v>
      </c>
      <c r="AA7" s="4" t="s">
        <v>70</v>
      </c>
      <c r="AC7" s="4"/>
      <c r="AE7" s="594"/>
      <c r="AG7" s="4" t="s">
        <v>475</v>
      </c>
      <c r="AI7" s="4"/>
      <c r="AM7" s="510"/>
      <c r="AN7" s="5">
        <v>20</v>
      </c>
      <c r="AO7" s="395">
        <v>1.4889039287917749</v>
      </c>
      <c r="AP7" s="395">
        <v>1.6532977051444206</v>
      </c>
      <c r="AQ7" s="395">
        <v>1.8392795601773719</v>
      </c>
      <c r="AR7" s="395">
        <v>2.0497746160615584</v>
      </c>
      <c r="AS7" s="395">
        <v>2.2880982149058156</v>
      </c>
      <c r="AT7" s="395">
        <v>2.5580059820990537</v>
      </c>
      <c r="AY7" s="23" t="s">
        <v>452</v>
      </c>
      <c r="AZ7" s="23" t="s">
        <v>189</v>
      </c>
      <c r="BA7" s="23"/>
      <c r="BB7" s="23"/>
      <c r="BC7" s="23" t="s">
        <v>280</v>
      </c>
      <c r="BD7" s="23" t="s">
        <v>281</v>
      </c>
      <c r="BE7" s="23" t="s">
        <v>282</v>
      </c>
      <c r="BF7" s="23" t="s">
        <v>283</v>
      </c>
      <c r="BG7" s="23" t="s">
        <v>284</v>
      </c>
      <c r="BH7" s="23" t="s">
        <v>285</v>
      </c>
      <c r="BJ7" s="23"/>
      <c r="BK7" s="23"/>
      <c r="BL7" s="23" t="s">
        <v>189</v>
      </c>
      <c r="BM7" s="23"/>
      <c r="BN7" s="23"/>
      <c r="BO7" s="23" t="s">
        <v>189</v>
      </c>
      <c r="BP7" s="23"/>
      <c r="BQ7" s="23" t="s">
        <v>189</v>
      </c>
      <c r="BR7" s="23" t="s">
        <v>189</v>
      </c>
      <c r="BS7" s="23" t="s">
        <v>173</v>
      </c>
      <c r="BT7" s="23" t="s">
        <v>189</v>
      </c>
      <c r="BU7" s="23"/>
      <c r="BV7" s="23" t="s">
        <v>251</v>
      </c>
      <c r="BW7" s="23"/>
      <c r="BX7" s="23" t="s">
        <v>180</v>
      </c>
      <c r="BY7" s="23" t="s">
        <v>189</v>
      </c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</row>
    <row r="8" spans="1:111">
      <c r="A8" s="3">
        <v>6</v>
      </c>
      <c r="C8" s="70" t="str">
        <f>C.6[[#Headers],[C.6]]</f>
        <v>C.6</v>
      </c>
      <c r="E8" s="390" t="s">
        <v>160</v>
      </c>
      <c r="F8" s="4" t="s">
        <v>734</v>
      </c>
      <c r="H8" s="70" t="str">
        <f>CARZA[[#Headers],[CARZA]]</f>
        <v>CARZA</v>
      </c>
      <c r="J8" s="390" t="s">
        <v>729</v>
      </c>
      <c r="K8" s="4" t="s">
        <v>177</v>
      </c>
      <c r="L8" s="4" t="s">
        <v>734</v>
      </c>
      <c r="M8" s="4" t="s">
        <v>166</v>
      </c>
      <c r="N8" s="4" t="s">
        <v>163</v>
      </c>
      <c r="O8" s="4" t="s">
        <v>733</v>
      </c>
      <c r="P8" s="4" t="s">
        <v>163</v>
      </c>
      <c r="Q8" s="4" t="s">
        <v>166</v>
      </c>
      <c r="V8" s="4"/>
      <c r="Y8" s="4" t="s">
        <v>15</v>
      </c>
      <c r="AA8" s="4" t="s">
        <v>23</v>
      </c>
      <c r="AC8" s="4"/>
      <c r="AE8" s="594"/>
      <c r="AG8" s="4" t="s">
        <v>476</v>
      </c>
      <c r="AI8" s="4"/>
      <c r="AY8" s="23" t="s">
        <v>428</v>
      </c>
      <c r="AZ8" s="23"/>
      <c r="BA8" s="23"/>
      <c r="BB8" s="23"/>
      <c r="BC8" s="23" t="s">
        <v>286</v>
      </c>
      <c r="BD8" s="23" t="s">
        <v>287</v>
      </c>
      <c r="BE8" s="23" t="s">
        <v>288</v>
      </c>
      <c r="BF8" s="23" t="s">
        <v>289</v>
      </c>
      <c r="BG8" s="23" t="s">
        <v>290</v>
      </c>
      <c r="BH8" s="23" t="s">
        <v>291</v>
      </c>
      <c r="BJ8" s="23"/>
      <c r="BK8" s="23"/>
      <c r="BL8" s="23" t="s">
        <v>189</v>
      </c>
      <c r="BM8" s="23"/>
      <c r="BN8" s="23"/>
      <c r="BO8" s="23"/>
      <c r="BP8" s="23"/>
      <c r="BQ8" s="23" t="s">
        <v>189</v>
      </c>
      <c r="BR8" s="23"/>
      <c r="BS8" s="23" t="s">
        <v>189</v>
      </c>
      <c r="BT8" s="23" t="s">
        <v>189</v>
      </c>
      <c r="BU8" s="23"/>
      <c r="BV8" s="23" t="s">
        <v>189</v>
      </c>
      <c r="BW8" s="23"/>
      <c r="BX8" s="23" t="s">
        <v>254</v>
      </c>
      <c r="BY8" s="23" t="s">
        <v>189</v>
      </c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</row>
    <row r="9" spans="1:111">
      <c r="A9" s="3">
        <v>7</v>
      </c>
      <c r="C9" s="70" t="str">
        <f>C.7[[#Headers],[C.7]]</f>
        <v>C.7</v>
      </c>
      <c r="E9" s="390" t="s">
        <v>160</v>
      </c>
      <c r="F9" s="4" t="s">
        <v>164</v>
      </c>
      <c r="H9" s="70" t="str">
        <f>CREARE[[#Headers],[CREARE]]</f>
        <v>CREARE</v>
      </c>
      <c r="J9" s="390" t="s">
        <v>729</v>
      </c>
      <c r="K9" s="4" t="s">
        <v>178</v>
      </c>
      <c r="L9" s="4" t="s">
        <v>164</v>
      </c>
      <c r="M9" s="4" t="s">
        <v>541</v>
      </c>
      <c r="N9" s="4" t="s">
        <v>163</v>
      </c>
      <c r="O9" s="4" t="s">
        <v>162</v>
      </c>
      <c r="P9" s="4" t="s">
        <v>543</v>
      </c>
      <c r="Q9" s="4" t="s">
        <v>541</v>
      </c>
      <c r="V9" s="4"/>
      <c r="Y9" s="4" t="s">
        <v>33</v>
      </c>
      <c r="AA9" s="4" t="s">
        <v>42</v>
      </c>
      <c r="AC9" s="4"/>
      <c r="AE9" s="594"/>
      <c r="AG9" s="4" t="s">
        <v>477</v>
      </c>
      <c r="AI9" s="4"/>
      <c r="AY9" s="14" t="s">
        <v>169</v>
      </c>
      <c r="AZ9" s="23"/>
      <c r="BA9" s="23"/>
      <c r="BB9" s="23"/>
      <c r="BC9" s="23" t="s">
        <v>292</v>
      </c>
      <c r="BD9" s="23" t="s">
        <v>293</v>
      </c>
      <c r="BE9" s="23" t="s">
        <v>294</v>
      </c>
      <c r="BF9" s="23" t="s">
        <v>295</v>
      </c>
      <c r="BG9" s="23" t="s">
        <v>296</v>
      </c>
      <c r="BH9" s="23" t="s">
        <v>297</v>
      </c>
      <c r="BJ9" s="23"/>
      <c r="BK9" s="23"/>
      <c r="BL9" s="23"/>
      <c r="BM9" s="23"/>
      <c r="BN9" s="23"/>
      <c r="BO9" s="23"/>
      <c r="BP9" s="23"/>
      <c r="BQ9" s="23"/>
      <c r="BR9" s="23"/>
      <c r="BS9" s="23" t="s">
        <v>189</v>
      </c>
      <c r="BT9" s="23" t="s">
        <v>189</v>
      </c>
      <c r="BU9" s="23"/>
      <c r="BV9" s="23" t="s">
        <v>189</v>
      </c>
      <c r="BW9" s="23"/>
      <c r="BX9" s="23" t="s">
        <v>255</v>
      </c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</row>
    <row r="10" spans="1:111">
      <c r="A10" s="3">
        <v>8</v>
      </c>
      <c r="C10" s="70" t="str">
        <f>C.8[[#Headers],[C.8]]</f>
        <v>C.8</v>
      </c>
      <c r="E10" s="390" t="s">
        <v>160</v>
      </c>
      <c r="F10" s="4" t="s">
        <v>543</v>
      </c>
      <c r="H10" s="70" t="str">
        <f>CUADRO[[#Headers],[CUADRO]]</f>
        <v>CUADRO</v>
      </c>
      <c r="J10" s="390" t="s">
        <v>729</v>
      </c>
      <c r="K10" s="4" t="s">
        <v>179</v>
      </c>
      <c r="L10" s="4" t="s">
        <v>543</v>
      </c>
      <c r="M10" s="4" t="s">
        <v>167</v>
      </c>
      <c r="N10" s="4" t="s">
        <v>138</v>
      </c>
      <c r="O10" s="4" t="s">
        <v>163</v>
      </c>
      <c r="P10" s="4" t="s">
        <v>165</v>
      </c>
      <c r="Q10" s="4" t="s">
        <v>165</v>
      </c>
      <c r="V10" s="4"/>
      <c r="Y10" s="4" t="s">
        <v>44</v>
      </c>
      <c r="AA10" s="4" t="s">
        <v>52</v>
      </c>
      <c r="AC10" s="4"/>
      <c r="AE10" s="594"/>
      <c r="AG10" s="4" t="s">
        <v>54</v>
      </c>
      <c r="AI10" s="4"/>
      <c r="AY10" s="23" t="s">
        <v>138</v>
      </c>
      <c r="AZ10" s="23"/>
      <c r="BA10" s="23"/>
      <c r="BB10" s="23"/>
      <c r="BC10" s="23" t="s">
        <v>298</v>
      </c>
      <c r="BD10" s="23" t="s">
        <v>299</v>
      </c>
      <c r="BE10" s="23" t="s">
        <v>300</v>
      </c>
      <c r="BF10" s="23" t="s">
        <v>301</v>
      </c>
      <c r="BG10" s="23" t="s">
        <v>302</v>
      </c>
      <c r="BH10" s="23" t="s">
        <v>303</v>
      </c>
      <c r="BJ10" s="23"/>
      <c r="BK10" s="23"/>
      <c r="BL10" s="23"/>
      <c r="BM10" s="23"/>
      <c r="BN10" s="23"/>
      <c r="BO10" s="23"/>
      <c r="BP10" s="23"/>
      <c r="BQ10" s="23"/>
      <c r="BR10" s="23"/>
      <c r="BS10" s="23" t="s">
        <v>189</v>
      </c>
      <c r="BT10" s="23"/>
      <c r="BU10" s="23"/>
      <c r="BV10" s="23"/>
      <c r="BW10" s="23"/>
      <c r="BX10" s="23" t="s">
        <v>179</v>
      </c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</row>
    <row r="11" spans="1:111">
      <c r="A11" s="3">
        <v>9</v>
      </c>
      <c r="C11" s="70" t="str">
        <f>C.9[[#Headers],[C.9]]</f>
        <v>C.9</v>
      </c>
      <c r="E11" s="390" t="s">
        <v>160</v>
      </c>
      <c r="F11" s="4" t="s">
        <v>165</v>
      </c>
      <c r="H11" s="70" t="str">
        <f>DELTA[[#Headers],[DELTA]]</f>
        <v>DELTA</v>
      </c>
      <c r="J11" s="390" t="s">
        <v>729</v>
      </c>
      <c r="K11" s="4" t="s">
        <v>180</v>
      </c>
      <c r="L11" s="4" t="s">
        <v>165</v>
      </c>
      <c r="M11" s="4"/>
      <c r="N11" s="4" t="s">
        <v>734</v>
      </c>
      <c r="O11" s="4" t="s">
        <v>164</v>
      </c>
      <c r="P11" s="4" t="s">
        <v>166</v>
      </c>
      <c r="Q11" s="4" t="s">
        <v>166</v>
      </c>
      <c r="V11" s="4"/>
      <c r="Y11" s="4" t="s">
        <v>43</v>
      </c>
      <c r="AA11" s="4"/>
      <c r="AC11" s="4"/>
      <c r="AE11" s="6" t="s">
        <v>62</v>
      </c>
      <c r="AG11" s="4" t="s">
        <v>56</v>
      </c>
      <c r="AY11" s="14" t="s">
        <v>453</v>
      </c>
      <c r="BA11" s="23"/>
      <c r="BB11" s="23"/>
      <c r="BC11" s="23" t="s">
        <v>304</v>
      </c>
      <c r="BD11" s="23" t="s">
        <v>305</v>
      </c>
      <c r="BE11" s="23" t="s">
        <v>306</v>
      </c>
      <c r="BF11" s="23" t="s">
        <v>307</v>
      </c>
      <c r="BG11" s="23" t="s">
        <v>308</v>
      </c>
      <c r="BH11" s="23" t="s">
        <v>309</v>
      </c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189</v>
      </c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</row>
    <row r="12" spans="1:111">
      <c r="A12" s="3">
        <v>10</v>
      </c>
      <c r="C12" s="70" t="str">
        <f>C.10[[#Headers],[C.10]]</f>
        <v>C.10</v>
      </c>
      <c r="E12" s="390" t="s">
        <v>160</v>
      </c>
      <c r="F12" s="4" t="s">
        <v>166</v>
      </c>
      <c r="H12" s="70" t="str">
        <f>IDEI[[#Headers],[IDEI]]</f>
        <v>IDEI</v>
      </c>
      <c r="J12" s="390" t="s">
        <v>729</v>
      </c>
      <c r="K12" s="4" t="s">
        <v>730</v>
      </c>
      <c r="L12" s="4" t="s">
        <v>166</v>
      </c>
      <c r="M12" s="4" t="s">
        <v>161</v>
      </c>
      <c r="N12" s="4" t="s">
        <v>164</v>
      </c>
      <c r="O12" s="4" t="s">
        <v>543</v>
      </c>
      <c r="P12" s="4" t="s">
        <v>541</v>
      </c>
      <c r="Q12" s="4" t="s">
        <v>541</v>
      </c>
      <c r="V12" s="4"/>
      <c r="Y12" s="4" t="s">
        <v>8</v>
      </c>
      <c r="AA12" s="4"/>
      <c r="AC12" s="4"/>
      <c r="AE12" s="7" t="s">
        <v>47</v>
      </c>
      <c r="AG12" s="4" t="s">
        <v>478</v>
      </c>
      <c r="AI12" s="5" t="s">
        <v>697</v>
      </c>
      <c r="AY12" s="14" t="s">
        <v>166</v>
      </c>
      <c r="AZ12" s="23"/>
      <c r="BA12" s="23"/>
      <c r="BB12" s="23"/>
      <c r="BC12" s="23" t="s">
        <v>310</v>
      </c>
      <c r="BD12" s="23" t="s">
        <v>311</v>
      </c>
      <c r="BE12" s="23" t="s">
        <v>312</v>
      </c>
      <c r="BF12" s="23" t="s">
        <v>313</v>
      </c>
      <c r="BG12" s="23" t="s">
        <v>314</v>
      </c>
      <c r="BH12" s="23" t="s">
        <v>315</v>
      </c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189</v>
      </c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</row>
    <row r="13" spans="1:111">
      <c r="A13" s="3">
        <v>11</v>
      </c>
      <c r="C13" s="70"/>
      <c r="E13" s="390" t="s">
        <v>160</v>
      </c>
      <c r="F13" s="4" t="s">
        <v>541</v>
      </c>
      <c r="H13" s="70" t="str">
        <f>KOINOX[[#Headers],[KOINOX]]</f>
        <v>KOINOX</v>
      </c>
      <c r="J13" s="390" t="s">
        <v>731</v>
      </c>
      <c r="K13" s="4" t="s">
        <v>181</v>
      </c>
      <c r="L13" s="4" t="s">
        <v>541</v>
      </c>
      <c r="M13" s="4" t="s">
        <v>733</v>
      </c>
      <c r="N13" s="4" t="s">
        <v>543</v>
      </c>
      <c r="O13" s="4" t="s">
        <v>165</v>
      </c>
      <c r="P13" s="4" t="s">
        <v>167</v>
      </c>
      <c r="Q13" s="4" t="s">
        <v>167</v>
      </c>
      <c r="Y13" s="4" t="s">
        <v>40</v>
      </c>
      <c r="AA13" s="4"/>
      <c r="AC13" s="4"/>
      <c r="AE13" s="7" t="s">
        <v>63</v>
      </c>
      <c r="AG13" s="4" t="s">
        <v>479</v>
      </c>
      <c r="AI13" s="14" t="s">
        <v>698</v>
      </c>
      <c r="AY13" s="110" t="s">
        <v>161</v>
      </c>
      <c r="AZ13" s="23"/>
      <c r="BA13" s="23"/>
      <c r="BB13" s="23"/>
      <c r="BC13" s="23" t="s">
        <v>316</v>
      </c>
      <c r="BD13" s="23" t="s">
        <v>317</v>
      </c>
      <c r="BE13" s="23" t="s">
        <v>318</v>
      </c>
      <c r="BF13" s="23" t="s">
        <v>319</v>
      </c>
      <c r="BG13" s="23" t="s">
        <v>320</v>
      </c>
      <c r="BH13" s="23" t="s">
        <v>321</v>
      </c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</row>
    <row r="14" spans="1:111">
      <c r="A14" s="3">
        <v>12</v>
      </c>
      <c r="C14" s="70"/>
      <c r="E14" s="390" t="s">
        <v>160</v>
      </c>
      <c r="F14" s="4" t="s">
        <v>167</v>
      </c>
      <c r="H14" s="70" t="str">
        <f>LANDWORK[[#Headers],[LANDWORK]]</f>
        <v>LANDWORK</v>
      </c>
      <c r="J14" s="390" t="s">
        <v>102</v>
      </c>
      <c r="K14" s="4" t="s">
        <v>182</v>
      </c>
      <c r="L14" s="4" t="s">
        <v>167</v>
      </c>
      <c r="M14" s="4" t="s">
        <v>162</v>
      </c>
      <c r="N14" s="4" t="s">
        <v>165</v>
      </c>
      <c r="O14" s="4" t="s">
        <v>166</v>
      </c>
      <c r="P14" s="4" t="s">
        <v>161</v>
      </c>
      <c r="Q14" s="4" t="s">
        <v>167</v>
      </c>
      <c r="V14" s="5" t="s">
        <v>3</v>
      </c>
      <c r="W14" s="392" t="s">
        <v>742</v>
      </c>
      <c r="Y14" s="4" t="s">
        <v>26</v>
      </c>
      <c r="AA14" s="4"/>
      <c r="AC14" s="4"/>
      <c r="AE14" s="7" t="s">
        <v>64</v>
      </c>
      <c r="AG14" s="4" t="s">
        <v>480</v>
      </c>
      <c r="AI14" s="14"/>
      <c r="AY14" s="23" t="s">
        <v>429</v>
      </c>
      <c r="AZ14" s="23"/>
      <c r="BA14" s="23"/>
      <c r="BB14" s="23"/>
      <c r="BC14" s="23"/>
      <c r="BD14" s="23"/>
      <c r="BE14" s="23"/>
      <c r="BF14" s="23"/>
      <c r="BG14" s="23"/>
      <c r="BH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</row>
    <row r="15" spans="1:111">
      <c r="A15" s="3">
        <v>13</v>
      </c>
      <c r="C15" s="70"/>
      <c r="E15" s="390" t="s">
        <v>160</v>
      </c>
      <c r="F15" s="4" t="s">
        <v>168</v>
      </c>
      <c r="H15" s="70" t="str">
        <f>NEST[[#Headers],[NEST]]</f>
        <v>NEST</v>
      </c>
      <c r="J15" s="390" t="s">
        <v>104</v>
      </c>
      <c r="K15" s="4" t="s">
        <v>183</v>
      </c>
      <c r="L15" s="4" t="s">
        <v>168</v>
      </c>
      <c r="M15" s="4" t="s">
        <v>163</v>
      </c>
      <c r="N15" s="4" t="s">
        <v>166</v>
      </c>
      <c r="O15" s="4" t="s">
        <v>541</v>
      </c>
      <c r="P15" s="4" t="s">
        <v>733</v>
      </c>
      <c r="Q15" s="4" t="s">
        <v>167</v>
      </c>
      <c r="V15" s="14" t="s">
        <v>332</v>
      </c>
      <c r="W15" s="14">
        <v>35</v>
      </c>
      <c r="Y15" s="4" t="s">
        <v>32</v>
      </c>
      <c r="AA15" s="4"/>
      <c r="AC15" s="4"/>
      <c r="AE15" s="7" t="s">
        <v>65</v>
      </c>
      <c r="AG15" s="4" t="s">
        <v>481</v>
      </c>
      <c r="AI15" s="14"/>
      <c r="AY15" s="110" t="s">
        <v>171</v>
      </c>
      <c r="AZ15" s="23"/>
      <c r="BA15" s="23"/>
      <c r="BB15" s="23"/>
      <c r="BC15" s="23"/>
      <c r="BD15" s="23"/>
      <c r="BE15" s="23"/>
      <c r="BF15" s="23"/>
      <c r="BG15" s="23"/>
      <c r="BH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</row>
    <row r="16" spans="1:111">
      <c r="A16" s="3">
        <v>14</v>
      </c>
      <c r="C16" s="70"/>
      <c r="E16" s="390" t="s">
        <v>160</v>
      </c>
      <c r="F16" s="4" t="s">
        <v>169</v>
      </c>
      <c r="H16" s="70" t="str">
        <f>PISSA[[#Headers],[PISSA]]</f>
        <v>PISSA</v>
      </c>
      <c r="J16" s="390" t="s">
        <v>105</v>
      </c>
      <c r="K16" s="4" t="s">
        <v>184</v>
      </c>
      <c r="L16" s="4" t="s">
        <v>169</v>
      </c>
      <c r="M16" s="4" t="s">
        <v>163</v>
      </c>
      <c r="N16" s="4" t="s">
        <v>541</v>
      </c>
      <c r="O16" s="4" t="s">
        <v>167</v>
      </c>
      <c r="P16" s="4" t="s">
        <v>162</v>
      </c>
      <c r="Q16" s="4" t="s">
        <v>167</v>
      </c>
      <c r="V16" s="14" t="s">
        <v>111</v>
      </c>
      <c r="W16" s="14">
        <v>45</v>
      </c>
      <c r="Y16" s="4" t="s">
        <v>16</v>
      </c>
      <c r="AA16" s="4"/>
      <c r="AC16" s="4"/>
      <c r="AE16" s="8" t="s">
        <v>11</v>
      </c>
      <c r="AG16" s="4" t="s">
        <v>55</v>
      </c>
      <c r="AI16" s="14"/>
      <c r="AY16" s="110" t="s">
        <v>167</v>
      </c>
      <c r="AZ16" s="23"/>
      <c r="BA16" s="23"/>
      <c r="BB16" s="23"/>
      <c r="BC16" s="23"/>
      <c r="BD16" s="23"/>
      <c r="BE16" s="23"/>
      <c r="BF16" s="23"/>
      <c r="BG16" s="23"/>
      <c r="BH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</row>
    <row r="17" spans="1:111">
      <c r="A17" s="3">
        <v>15</v>
      </c>
      <c r="C17" s="70"/>
      <c r="E17" s="390" t="s">
        <v>160</v>
      </c>
      <c r="F17" s="4" t="s">
        <v>170</v>
      </c>
      <c r="H17" s="70" t="str">
        <f>PROYECTOS9[[#Headers],[PROYECTOS9]]</f>
        <v>PROYECTOS9</v>
      </c>
      <c r="J17" s="390" t="s">
        <v>99</v>
      </c>
      <c r="K17" s="4" t="s">
        <v>187</v>
      </c>
      <c r="L17" s="4" t="s">
        <v>170</v>
      </c>
      <c r="M17" s="4" t="s">
        <v>163</v>
      </c>
      <c r="N17" s="4" t="s">
        <v>167</v>
      </c>
      <c r="O17" s="4" t="s">
        <v>167</v>
      </c>
      <c r="P17" s="4" t="s">
        <v>163</v>
      </c>
      <c r="Q17" s="4" t="s">
        <v>167</v>
      </c>
      <c r="V17" s="14" t="s">
        <v>139</v>
      </c>
      <c r="W17" s="14">
        <v>65</v>
      </c>
      <c r="Y17" s="4" t="s">
        <v>20</v>
      </c>
      <c r="AA17" s="4"/>
      <c r="AC17" s="4"/>
      <c r="AG17" s="4" t="s">
        <v>90</v>
      </c>
      <c r="AI17" s="14"/>
      <c r="AY17" s="110" t="s">
        <v>168</v>
      </c>
      <c r="AZ17" s="23"/>
      <c r="BA17" s="23"/>
      <c r="BB17" s="23"/>
      <c r="BC17" s="23"/>
      <c r="BD17" s="23"/>
      <c r="BE17" s="23"/>
      <c r="BF17" s="23"/>
      <c r="BG17" s="23"/>
      <c r="BH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</row>
    <row r="18" spans="1:111">
      <c r="A18" s="3">
        <v>16</v>
      </c>
      <c r="C18" s="70"/>
      <c r="E18" s="390" t="s">
        <v>160</v>
      </c>
      <c r="F18" s="4" t="s">
        <v>171</v>
      </c>
      <c r="H18" s="70" t="str">
        <f>QUANTIUM[[#Headers],[QUANTIUM]]</f>
        <v>QUANTIUM</v>
      </c>
      <c r="J18" s="390"/>
      <c r="K18" s="4"/>
      <c r="L18" s="4"/>
      <c r="M18" s="4"/>
      <c r="N18" s="4"/>
      <c r="O18" s="4"/>
      <c r="P18" s="4"/>
      <c r="Q18" s="4"/>
      <c r="V18" s="14" t="s">
        <v>545</v>
      </c>
      <c r="W18" s="14">
        <v>80</v>
      </c>
      <c r="Y18" s="4" t="s">
        <v>7</v>
      </c>
      <c r="AA18" s="4"/>
      <c r="AC18" s="4"/>
      <c r="AG18" s="4" t="s">
        <v>57</v>
      </c>
      <c r="AI18" s="14"/>
      <c r="AY18" s="110" t="s">
        <v>172</v>
      </c>
      <c r="AZ18" s="23"/>
      <c r="BA18" s="23"/>
      <c r="BB18" s="23"/>
      <c r="BC18" s="23"/>
      <c r="BD18" s="23"/>
      <c r="BE18" s="23"/>
      <c r="BF18" s="23"/>
      <c r="BG18" s="23"/>
      <c r="BH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</row>
    <row r="19" spans="1:111">
      <c r="A19" s="3">
        <v>17</v>
      </c>
      <c r="C19" s="70"/>
      <c r="E19" s="390" t="s">
        <v>160</v>
      </c>
      <c r="F19" s="4" t="s">
        <v>548</v>
      </c>
      <c r="H19" s="70" t="str">
        <f>TROY[[#Headers],[TROY]]</f>
        <v>TROY</v>
      </c>
      <c r="J19" s="390"/>
      <c r="K19" s="4"/>
      <c r="L19" s="4"/>
      <c r="M19" s="4"/>
      <c r="N19" s="4"/>
      <c r="O19" s="4"/>
      <c r="P19" s="4"/>
      <c r="Q19" s="4"/>
      <c r="Y19" s="4" t="s">
        <v>28</v>
      </c>
      <c r="AA19" s="4"/>
      <c r="AC19" s="4"/>
      <c r="AG19" s="4" t="s">
        <v>58</v>
      </c>
      <c r="AY19" s="110" t="s">
        <v>185</v>
      </c>
      <c r="AZ19" s="23"/>
      <c r="BA19" s="23"/>
      <c r="BB19" s="23"/>
      <c r="BC19" s="23"/>
      <c r="BD19" s="23"/>
      <c r="BE19" s="23"/>
      <c r="BF19" s="23"/>
      <c r="BG19" s="23"/>
      <c r="BH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</row>
    <row r="20" spans="1:111">
      <c r="A20" s="3">
        <v>18</v>
      </c>
      <c r="C20" s="70"/>
      <c r="E20" s="390" t="s">
        <v>160</v>
      </c>
      <c r="F20" s="4" t="s">
        <v>172</v>
      </c>
      <c r="H20" s="70" t="str">
        <f>VALO[[#Headers],[VALO]]</f>
        <v>VALO</v>
      </c>
      <c r="J20" s="390"/>
      <c r="K20" s="4"/>
      <c r="L20" s="4"/>
      <c r="M20" s="4"/>
      <c r="N20" s="4"/>
      <c r="O20" s="4"/>
      <c r="P20" s="4"/>
      <c r="Q20" s="4"/>
      <c r="V20" s="5" t="s">
        <v>74</v>
      </c>
      <c r="Y20" s="4" t="s">
        <v>14</v>
      </c>
      <c r="AA20" s="4"/>
      <c r="AC20" s="4"/>
      <c r="AG20" s="4" t="s">
        <v>89</v>
      </c>
      <c r="AY20" s="23" t="s">
        <v>422</v>
      </c>
      <c r="AZ20" s="23"/>
      <c r="BA20" s="23"/>
      <c r="BB20" s="23"/>
      <c r="BC20" s="23"/>
      <c r="BD20" s="23"/>
      <c r="BE20" s="23"/>
      <c r="BF20" s="23"/>
      <c r="BG20" s="23"/>
      <c r="BH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</row>
    <row r="21" spans="1:111">
      <c r="A21" s="3">
        <v>19</v>
      </c>
      <c r="C21" s="70"/>
      <c r="E21" s="390"/>
      <c r="F21" s="4"/>
      <c r="H21" s="70" t="str">
        <f>NEUBEN[[#Headers],[NEUBEN]]</f>
        <v>NEUBEN</v>
      </c>
      <c r="J21" s="390"/>
      <c r="K21" s="4"/>
      <c r="L21" s="4"/>
      <c r="M21" s="4"/>
      <c r="N21" s="4"/>
      <c r="O21" s="4"/>
      <c r="P21" s="4"/>
      <c r="Q21" s="4"/>
      <c r="V21" s="14">
        <v>1</v>
      </c>
      <c r="Y21" s="4" t="s">
        <v>45</v>
      </c>
      <c r="AA21" s="4"/>
      <c r="AC21" s="4"/>
      <c r="AG21" s="4" t="s">
        <v>59</v>
      </c>
      <c r="AY21" s="23" t="s">
        <v>454</v>
      </c>
      <c r="AZ21" s="23"/>
      <c r="BA21" s="23"/>
      <c r="BB21" s="23"/>
      <c r="BC21" s="23"/>
      <c r="BD21" s="23"/>
      <c r="BE21" s="23"/>
      <c r="BF21" s="23"/>
      <c r="BG21" s="23"/>
      <c r="BH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</row>
    <row r="22" spans="1:111">
      <c r="A22" s="3">
        <v>20</v>
      </c>
      <c r="C22" s="70"/>
      <c r="E22" s="390"/>
      <c r="F22" s="4"/>
      <c r="H22" s="70"/>
      <c r="J22" s="390"/>
      <c r="K22" s="4"/>
      <c r="L22" s="4"/>
      <c r="M22" s="4"/>
      <c r="N22" s="4"/>
      <c r="O22" s="4"/>
      <c r="P22" s="4"/>
      <c r="Q22" s="4"/>
      <c r="V22" s="14">
        <v>2</v>
      </c>
      <c r="Y22" s="4" t="s">
        <v>18</v>
      </c>
      <c r="AA22" s="4"/>
      <c r="AC22" s="4"/>
      <c r="AG22" s="4" t="s">
        <v>60</v>
      </c>
      <c r="AY22" s="23" t="s">
        <v>170</v>
      </c>
      <c r="AZ22" s="23"/>
      <c r="BA22" s="23"/>
      <c r="BB22" s="23"/>
      <c r="BC22" s="23"/>
      <c r="BD22" s="23"/>
      <c r="BE22" s="23"/>
      <c r="BF22" s="23"/>
      <c r="BG22" s="23"/>
      <c r="BH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</row>
    <row r="23" spans="1:111">
      <c r="A23" s="3">
        <v>21</v>
      </c>
      <c r="E23" s="390"/>
      <c r="F23" s="4"/>
      <c r="H23" s="70"/>
      <c r="J23" s="390"/>
      <c r="K23" s="4"/>
      <c r="L23" s="4"/>
      <c r="M23" s="4"/>
      <c r="N23" s="4"/>
      <c r="O23" s="4"/>
      <c r="P23" s="4"/>
      <c r="Q23" s="4"/>
      <c r="V23" s="14">
        <v>3</v>
      </c>
      <c r="Y23" s="4" t="s">
        <v>29</v>
      </c>
      <c r="AA23" s="4"/>
      <c r="AC23" s="4"/>
      <c r="AG23" s="4" t="s">
        <v>61</v>
      </c>
      <c r="AY23" s="23" t="s">
        <v>423</v>
      </c>
      <c r="AZ23" s="23"/>
      <c r="BA23" s="23"/>
      <c r="BB23" s="23"/>
      <c r="BC23" s="23"/>
      <c r="BD23" s="23"/>
      <c r="BE23" s="23"/>
      <c r="BF23" s="23"/>
      <c r="BG23" s="23"/>
      <c r="BH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</row>
    <row r="24" spans="1:111">
      <c r="A24" s="3">
        <v>22</v>
      </c>
      <c r="E24" s="390"/>
      <c r="F24" s="4"/>
      <c r="H24" s="70"/>
      <c r="J24" s="390"/>
      <c r="K24" s="4"/>
      <c r="L24" s="4"/>
      <c r="M24" s="4"/>
      <c r="N24" s="4"/>
      <c r="O24" s="4"/>
      <c r="P24" s="4"/>
      <c r="Q24" s="4"/>
      <c r="V24" s="14">
        <v>4</v>
      </c>
      <c r="Y24" s="4" t="s">
        <v>31</v>
      </c>
      <c r="AA24" s="4"/>
      <c r="AC24" s="4"/>
      <c r="AG24" s="4" t="s">
        <v>482</v>
      </c>
      <c r="AY24" s="23" t="s">
        <v>424</v>
      </c>
      <c r="AZ24" s="23"/>
      <c r="BA24" s="23"/>
      <c r="BB24" s="23"/>
      <c r="BC24" s="23"/>
      <c r="BD24" s="23"/>
      <c r="BE24" s="23"/>
      <c r="BF24" s="23"/>
      <c r="BG24" s="23"/>
      <c r="BH24" s="23"/>
    </row>
    <row r="25" spans="1:111">
      <c r="A25" s="3">
        <v>23</v>
      </c>
      <c r="E25" s="390"/>
      <c r="F25" s="4"/>
      <c r="H25" s="70"/>
      <c r="J25" s="390"/>
      <c r="K25" s="4"/>
      <c r="L25" s="4"/>
      <c r="M25" s="4"/>
      <c r="N25" s="4"/>
      <c r="O25" s="4"/>
      <c r="P25" s="4"/>
      <c r="Q25" s="4"/>
      <c r="V25" s="14">
        <v>5</v>
      </c>
      <c r="Y25" s="4" t="s">
        <v>30</v>
      </c>
      <c r="AA25" s="4"/>
      <c r="AC25" s="4"/>
      <c r="AG25" s="4"/>
      <c r="AY25" s="23" t="s">
        <v>425</v>
      </c>
      <c r="AZ25" s="23"/>
      <c r="BA25" s="23"/>
      <c r="BB25" s="23"/>
      <c r="BC25" s="23"/>
      <c r="BD25" s="23"/>
      <c r="BE25" s="23"/>
      <c r="BF25" s="23"/>
      <c r="BG25" s="23"/>
      <c r="BH25" s="23"/>
    </row>
    <row r="26" spans="1:111">
      <c r="A26" s="3">
        <v>24</v>
      </c>
      <c r="E26" s="390"/>
      <c r="F26" s="4"/>
      <c r="H26" s="70"/>
      <c r="J26" s="390"/>
      <c r="K26" s="4"/>
      <c r="L26" s="4"/>
      <c r="M26" s="4"/>
      <c r="N26" s="4"/>
      <c r="O26" s="4"/>
      <c r="P26" s="4"/>
      <c r="Q26" s="4"/>
      <c r="V26" s="14">
        <v>6</v>
      </c>
      <c r="Y26" s="4" t="s">
        <v>21</v>
      </c>
      <c r="AA26" s="4"/>
      <c r="AC26" s="4"/>
      <c r="AG26" s="4"/>
      <c r="AY26" s="23" t="s">
        <v>426</v>
      </c>
      <c r="AZ26" s="23"/>
      <c r="BA26" s="23"/>
      <c r="BB26" s="23"/>
      <c r="BC26" s="23"/>
      <c r="BD26" s="23"/>
      <c r="BE26" s="23"/>
      <c r="BF26" s="23"/>
      <c r="BG26" s="23"/>
      <c r="BH26" s="23"/>
    </row>
    <row r="27" spans="1:111">
      <c r="A27" s="3">
        <v>25</v>
      </c>
      <c r="E27" s="390"/>
      <c r="F27" s="4"/>
      <c r="H27" s="70"/>
      <c r="J27" s="390"/>
      <c r="K27" s="4"/>
      <c r="L27" s="4"/>
      <c r="M27" s="4"/>
      <c r="N27" s="4"/>
      <c r="O27" s="4"/>
      <c r="P27" s="4"/>
      <c r="Q27" s="4"/>
      <c r="V27" s="14">
        <v>7</v>
      </c>
      <c r="Y27" s="4" t="s">
        <v>17</v>
      </c>
      <c r="AA27" s="4"/>
      <c r="AC27" s="4"/>
      <c r="AG27" s="4"/>
      <c r="AY27" s="23" t="s">
        <v>427</v>
      </c>
      <c r="AZ27" s="23"/>
      <c r="BA27" s="23"/>
      <c r="BB27" s="23"/>
      <c r="BC27" s="23"/>
      <c r="BD27" s="23"/>
      <c r="BE27" s="23"/>
      <c r="BF27" s="23"/>
      <c r="BG27" s="23"/>
      <c r="BH27" s="23"/>
    </row>
    <row r="28" spans="1:111">
      <c r="A28" s="3">
        <v>26</v>
      </c>
      <c r="E28" s="390"/>
      <c r="F28" s="4"/>
      <c r="H28" s="70"/>
      <c r="J28" s="390"/>
      <c r="K28" s="4"/>
      <c r="L28" s="4"/>
      <c r="M28" s="4"/>
      <c r="N28" s="4"/>
      <c r="O28" s="4"/>
      <c r="P28" s="4"/>
      <c r="Q28" s="4"/>
      <c r="V28" s="14">
        <v>110</v>
      </c>
      <c r="Y28" s="4" t="s">
        <v>19</v>
      </c>
      <c r="AA28" s="4"/>
      <c r="AC28" s="4"/>
      <c r="AG28" s="4"/>
      <c r="AY28" s="23"/>
      <c r="AZ28" s="23"/>
      <c r="BA28" s="23"/>
      <c r="BB28" s="23"/>
      <c r="BC28" s="23"/>
      <c r="BD28" s="23"/>
      <c r="BE28" s="23"/>
      <c r="BF28" s="23"/>
      <c r="BG28" s="23"/>
      <c r="BH28" s="23"/>
    </row>
    <row r="29" spans="1:111">
      <c r="A29" s="3">
        <v>27</v>
      </c>
      <c r="E29" s="390"/>
      <c r="F29" s="4"/>
      <c r="H29" s="70"/>
      <c r="J29" s="390"/>
      <c r="K29" s="4"/>
      <c r="L29" s="4"/>
      <c r="M29" s="4"/>
      <c r="N29" s="4"/>
      <c r="O29" s="4"/>
      <c r="P29" s="4"/>
      <c r="Q29" s="4"/>
      <c r="Y29" s="4" t="s">
        <v>36</v>
      </c>
      <c r="AA29" s="4"/>
      <c r="AC29" s="4"/>
      <c r="AG29" s="4"/>
      <c r="AY29" s="23"/>
    </row>
    <row r="30" spans="1:111">
      <c r="A30" s="3">
        <v>28</v>
      </c>
      <c r="E30" s="390"/>
      <c r="F30" s="4"/>
      <c r="H30" s="70"/>
      <c r="J30" s="390"/>
      <c r="K30" s="4"/>
      <c r="L30" s="4"/>
      <c r="M30" s="4"/>
      <c r="N30" s="4"/>
      <c r="O30" s="4"/>
      <c r="P30" s="4"/>
      <c r="Q30" s="4"/>
      <c r="V30" s="5" t="s">
        <v>72</v>
      </c>
      <c r="Y30" s="4" t="s">
        <v>46</v>
      </c>
      <c r="AA30" s="4"/>
      <c r="AC30" s="4"/>
      <c r="AG30" s="4"/>
      <c r="AY30" s="23"/>
    </row>
    <row r="31" spans="1:111">
      <c r="A31" s="3">
        <v>29</v>
      </c>
      <c r="E31" s="390"/>
      <c r="F31" s="4"/>
      <c r="H31" s="70"/>
      <c r="J31" s="390"/>
      <c r="K31" s="4"/>
      <c r="L31" s="4"/>
      <c r="M31" s="4"/>
      <c r="N31" s="4"/>
      <c r="O31" s="4"/>
      <c r="P31" s="4"/>
      <c r="Q31" s="4"/>
      <c r="V31" s="14">
        <v>1</v>
      </c>
      <c r="Y31" s="4" t="s">
        <v>9</v>
      </c>
      <c r="AY31" s="23"/>
    </row>
    <row r="32" spans="1:111">
      <c r="A32" s="3">
        <v>30</v>
      </c>
      <c r="E32" s="390"/>
      <c r="F32" s="4"/>
      <c r="H32" s="70"/>
      <c r="J32" s="390"/>
      <c r="K32" s="4"/>
      <c r="L32" s="4"/>
      <c r="M32" s="4"/>
      <c r="N32" s="4"/>
      <c r="O32" s="4"/>
      <c r="P32" s="4"/>
      <c r="Q32" s="4"/>
      <c r="V32" s="14">
        <v>2</v>
      </c>
      <c r="Y32" s="4" t="s">
        <v>39</v>
      </c>
      <c r="AY32" s="23"/>
    </row>
    <row r="33" spans="1:51">
      <c r="A33" s="3">
        <v>31</v>
      </c>
      <c r="E33" s="390"/>
      <c r="F33" s="4"/>
      <c r="H33" s="70"/>
      <c r="J33" s="390"/>
      <c r="K33" s="4"/>
      <c r="L33" s="4"/>
      <c r="M33" s="4"/>
      <c r="N33" s="4"/>
      <c r="O33" s="4"/>
      <c r="P33" s="4"/>
      <c r="Q33" s="4"/>
      <c r="V33" s="14">
        <v>3</v>
      </c>
      <c r="Y33" s="4" t="s">
        <v>10</v>
      </c>
      <c r="AY33" s="23"/>
    </row>
    <row r="34" spans="1:51">
      <c r="A34" s="3">
        <v>32</v>
      </c>
      <c r="E34" s="390"/>
      <c r="F34" s="4"/>
      <c r="H34" s="70"/>
      <c r="J34" s="390"/>
      <c r="K34" s="4"/>
      <c r="L34" s="4"/>
      <c r="M34" s="4"/>
      <c r="N34" s="4"/>
      <c r="O34" s="4"/>
      <c r="P34" s="4"/>
      <c r="Q34" s="4"/>
      <c r="V34" s="14">
        <v>4</v>
      </c>
      <c r="Y34" s="4" t="s">
        <v>13</v>
      </c>
      <c r="AY34" s="23"/>
    </row>
    <row r="35" spans="1:51">
      <c r="A35" s="3">
        <v>33</v>
      </c>
      <c r="E35" s="390"/>
      <c r="F35" s="4"/>
      <c r="H35" s="70"/>
      <c r="J35" s="390"/>
      <c r="K35" s="4"/>
      <c r="L35" s="4"/>
      <c r="M35" s="4"/>
      <c r="N35" s="4"/>
      <c r="O35" s="4"/>
      <c r="P35" s="4"/>
      <c r="Q35" s="4"/>
      <c r="V35" s="14">
        <v>5</v>
      </c>
      <c r="Y35" s="4"/>
    </row>
    <row r="36" spans="1:51">
      <c r="A36" s="3">
        <v>34</v>
      </c>
      <c r="E36" s="390"/>
      <c r="F36" s="4"/>
      <c r="H36" s="70"/>
      <c r="J36" s="390"/>
      <c r="K36" s="4"/>
      <c r="L36" s="4"/>
      <c r="M36" s="4"/>
      <c r="N36" s="4"/>
      <c r="O36" s="4"/>
      <c r="P36" s="4"/>
      <c r="Q36" s="4"/>
      <c r="V36" s="14">
        <v>6</v>
      </c>
      <c r="Y36" s="4"/>
    </row>
    <row r="37" spans="1:51">
      <c r="A37" s="3">
        <v>35</v>
      </c>
      <c r="E37" s="390"/>
      <c r="F37" s="4"/>
      <c r="H37" s="70"/>
      <c r="J37" s="390"/>
      <c r="K37" s="4"/>
      <c r="L37" s="4"/>
      <c r="M37" s="4"/>
      <c r="N37" s="4"/>
      <c r="O37" s="4"/>
      <c r="P37" s="4"/>
      <c r="Q37" s="4"/>
      <c r="V37" s="14">
        <v>7</v>
      </c>
      <c r="Y37" s="4"/>
    </row>
    <row r="38" spans="1:51">
      <c r="A38" s="3">
        <v>36</v>
      </c>
      <c r="E38" s="390"/>
      <c r="F38" s="4"/>
      <c r="H38" s="70"/>
      <c r="J38" s="390"/>
      <c r="K38" s="4"/>
      <c r="L38" s="4"/>
      <c r="M38" s="4"/>
      <c r="N38" s="4"/>
      <c r="O38" s="4"/>
      <c r="P38" s="4"/>
      <c r="Q38" s="4"/>
      <c r="V38" s="14">
        <v>8</v>
      </c>
      <c r="Y38" s="4"/>
    </row>
    <row r="39" spans="1:51">
      <c r="A39" s="3">
        <v>37</v>
      </c>
      <c r="E39" s="390"/>
      <c r="F39" s="4"/>
      <c r="H39" s="70"/>
      <c r="J39" s="390"/>
      <c r="K39" s="4"/>
      <c r="L39" s="4"/>
      <c r="M39" s="4"/>
      <c r="N39" s="4"/>
      <c r="O39" s="4"/>
      <c r="P39" s="4"/>
      <c r="Q39" s="4"/>
      <c r="Y39" s="4"/>
    </row>
    <row r="40" spans="1:51">
      <c r="A40" s="3">
        <v>38</v>
      </c>
      <c r="E40" s="390"/>
      <c r="F40" s="4"/>
      <c r="H40" s="70"/>
      <c r="J40" s="390"/>
      <c r="K40" s="4"/>
      <c r="L40" s="4"/>
      <c r="M40" s="4"/>
      <c r="N40" s="4"/>
      <c r="O40" s="4"/>
      <c r="P40" s="4"/>
      <c r="Q40" s="4"/>
      <c r="V40" s="5" t="s">
        <v>78</v>
      </c>
      <c r="Y40" s="4"/>
    </row>
    <row r="41" spans="1:51">
      <c r="A41" s="3">
        <v>39</v>
      </c>
      <c r="E41" s="390"/>
      <c r="F41" s="4"/>
      <c r="H41" s="70"/>
      <c r="J41" s="390"/>
      <c r="K41" s="4"/>
      <c r="L41" s="4"/>
      <c r="M41" s="4"/>
      <c r="N41" s="4"/>
      <c r="O41" s="4"/>
      <c r="P41" s="4"/>
      <c r="Q41" s="4"/>
      <c r="V41" s="14" t="s">
        <v>744</v>
      </c>
      <c r="Y41" s="4"/>
    </row>
    <row r="42" spans="1:51">
      <c r="A42" s="3">
        <v>40</v>
      </c>
      <c r="E42" s="390"/>
      <c r="F42" s="4"/>
      <c r="H42" s="70"/>
      <c r="J42" s="390"/>
      <c r="K42" s="4"/>
      <c r="L42" s="4"/>
      <c r="M42" s="4"/>
      <c r="N42" s="4"/>
      <c r="O42" s="4"/>
      <c r="P42" s="4"/>
      <c r="Q42" s="4"/>
      <c r="V42" s="14">
        <v>1</v>
      </c>
      <c r="Y42" s="4"/>
    </row>
    <row r="43" spans="1:51">
      <c r="A43" s="3">
        <v>41</v>
      </c>
      <c r="E43" s="390"/>
      <c r="F43" s="4"/>
      <c r="H43" s="70"/>
      <c r="J43" s="390"/>
      <c r="K43" s="4"/>
      <c r="L43" s="4"/>
      <c r="M43" s="4"/>
      <c r="N43" s="4"/>
      <c r="O43" s="4"/>
      <c r="P43" s="4"/>
      <c r="Q43" s="4"/>
      <c r="V43" s="14" t="s">
        <v>749</v>
      </c>
      <c r="Y43" s="4"/>
    </row>
    <row r="44" spans="1:51">
      <c r="A44" s="3">
        <v>42</v>
      </c>
      <c r="E44" s="390"/>
      <c r="F44" s="4"/>
      <c r="H44" s="70"/>
      <c r="J44" s="390"/>
      <c r="K44" s="4"/>
      <c r="L44" s="4"/>
      <c r="M44" s="4"/>
      <c r="N44" s="4"/>
      <c r="O44" s="4"/>
      <c r="P44" s="4"/>
      <c r="Q44" s="4"/>
      <c r="V44" s="14">
        <v>2</v>
      </c>
      <c r="Y44" s="4"/>
    </row>
    <row r="45" spans="1:51">
      <c r="A45" s="3">
        <v>43</v>
      </c>
      <c r="E45" s="390"/>
      <c r="F45" s="4"/>
      <c r="H45" s="70"/>
      <c r="J45" s="390"/>
      <c r="K45" s="4"/>
      <c r="L45" s="4"/>
      <c r="M45" s="4"/>
      <c r="N45" s="4"/>
      <c r="O45" s="4"/>
      <c r="P45" s="4"/>
      <c r="Q45" s="4"/>
      <c r="V45" s="14" t="s">
        <v>750</v>
      </c>
      <c r="Y45" s="4"/>
    </row>
    <row r="46" spans="1:51">
      <c r="A46" s="3">
        <v>44</v>
      </c>
      <c r="E46" s="390"/>
      <c r="F46" s="4"/>
      <c r="H46" s="70"/>
      <c r="J46" s="390"/>
      <c r="K46" s="4"/>
      <c r="L46" s="4"/>
      <c r="M46" s="4"/>
      <c r="N46" s="4"/>
      <c r="O46" s="4"/>
      <c r="P46" s="4"/>
      <c r="Q46" s="4"/>
      <c r="V46" s="14">
        <v>3</v>
      </c>
      <c r="Y46" s="4"/>
    </row>
    <row r="47" spans="1:51">
      <c r="A47" s="3">
        <v>45</v>
      </c>
      <c r="E47" s="390"/>
      <c r="F47" s="4"/>
      <c r="H47" s="70"/>
      <c r="J47" s="390"/>
      <c r="K47" s="4"/>
      <c r="L47" s="4"/>
      <c r="M47" s="4"/>
      <c r="N47" s="4"/>
      <c r="O47" s="4"/>
      <c r="P47" s="4"/>
      <c r="Q47" s="4"/>
      <c r="V47" s="14" t="s">
        <v>751</v>
      </c>
      <c r="Y47" s="4"/>
    </row>
    <row r="48" spans="1:51">
      <c r="A48" s="3">
        <v>46</v>
      </c>
      <c r="E48" s="390"/>
      <c r="F48" s="4"/>
      <c r="H48" s="70"/>
      <c r="J48" s="390"/>
      <c r="K48" s="4"/>
      <c r="L48" s="4"/>
      <c r="M48" s="4"/>
      <c r="N48" s="4"/>
      <c r="O48" s="4"/>
      <c r="P48" s="4"/>
      <c r="Q48" s="4"/>
      <c r="V48" s="14">
        <v>4</v>
      </c>
      <c r="Y48" s="4"/>
    </row>
    <row r="49" spans="1:25">
      <c r="A49" s="3">
        <v>47</v>
      </c>
      <c r="E49" s="390"/>
      <c r="F49" s="4"/>
      <c r="H49" s="70"/>
      <c r="J49" s="390"/>
      <c r="K49" s="4"/>
      <c r="L49" s="4"/>
      <c r="M49" s="4"/>
      <c r="N49" s="4"/>
      <c r="O49" s="4"/>
      <c r="P49" s="4"/>
      <c r="Q49" s="4"/>
      <c r="V49" s="14" t="s">
        <v>752</v>
      </c>
      <c r="Y49" s="4"/>
    </row>
    <row r="50" spans="1:25">
      <c r="A50" s="3">
        <v>48</v>
      </c>
      <c r="H50" s="70"/>
      <c r="Y50" s="4"/>
    </row>
    <row r="51" spans="1:25">
      <c r="A51" s="3">
        <v>49</v>
      </c>
      <c r="H51" s="70"/>
      <c r="V51" s="5" t="s">
        <v>84</v>
      </c>
    </row>
    <row r="52" spans="1:25">
      <c r="A52" s="3">
        <v>50</v>
      </c>
      <c r="H52" s="70"/>
      <c r="V52" s="14">
        <v>1</v>
      </c>
    </row>
    <row r="53" spans="1:25">
      <c r="V53" s="14">
        <v>1.5</v>
      </c>
    </row>
    <row r="54" spans="1:25">
      <c r="V54" s="14">
        <v>2</v>
      </c>
    </row>
    <row r="55" spans="1:25">
      <c r="V55" s="14">
        <v>2.5</v>
      </c>
    </row>
    <row r="56" spans="1:25">
      <c r="V56" s="14">
        <v>3</v>
      </c>
    </row>
    <row r="57" spans="1:25">
      <c r="V57" s="14">
        <v>3.5</v>
      </c>
    </row>
    <row r="59" spans="1:25">
      <c r="V59" s="5" t="s">
        <v>463</v>
      </c>
    </row>
    <row r="60" spans="1:25">
      <c r="V60" s="396" t="s">
        <v>108</v>
      </c>
    </row>
    <row r="61" spans="1:25">
      <c r="V61" s="14">
        <v>1</v>
      </c>
    </row>
    <row r="62" spans="1:25">
      <c r="V62" s="14">
        <v>2</v>
      </c>
    </row>
    <row r="63" spans="1:25">
      <c r="V63" s="14">
        <v>3</v>
      </c>
    </row>
    <row r="64" spans="1:25">
      <c r="V64" s="14" t="s">
        <v>745</v>
      </c>
    </row>
    <row r="66" spans="22:22">
      <c r="V66" s="5" t="s">
        <v>757</v>
      </c>
    </row>
    <row r="67" spans="22:22">
      <c r="V67" s="14" t="s">
        <v>754</v>
      </c>
    </row>
    <row r="68" spans="22:22">
      <c r="V68" s="14" t="s">
        <v>755</v>
      </c>
    </row>
    <row r="69" spans="22:22">
      <c r="V69" s="14" t="s">
        <v>59</v>
      </c>
    </row>
    <row r="70" spans="22:22">
      <c r="V70" s="14" t="s">
        <v>756</v>
      </c>
    </row>
    <row r="71" spans="22:22">
      <c r="V71" s="14" t="s">
        <v>758</v>
      </c>
    </row>
  </sheetData>
  <customSheetViews>
    <customSheetView guid="{13D93A47-B4CB-4772-9EB1-4DA9A3D608D6}" topLeftCell="N1">
      <selection activeCell="C10" sqref="C10"/>
      <pageMargins left="0.7" right="0.7" top="0.75" bottom="0.75" header="0.3" footer="0.3"/>
    </customSheetView>
    <customSheetView guid="{8FBD04A5-416D-4DBA-B024-6C6AB31A061B}" topLeftCell="N1">
      <selection activeCell="C10" sqref="C10"/>
      <pageMargins left="0.7" right="0.7" top="0.75" bottom="0.75" header="0.3" footer="0.3"/>
    </customSheetView>
  </customSheetViews>
  <mergeCells count="8">
    <mergeCell ref="E2:F2"/>
    <mergeCell ref="AO2:AT2"/>
    <mergeCell ref="AM4:AM7"/>
    <mergeCell ref="BT2:DG2"/>
    <mergeCell ref="AE3:AE10"/>
    <mergeCell ref="AY2:BH2"/>
    <mergeCell ref="BJ2:BS2"/>
    <mergeCell ref="J2:K2"/>
  </mergeCells>
  <phoneticPr fontId="4" type="noConversion"/>
  <dataValidations disablePrompts="1" count="2">
    <dataValidation type="list" allowBlank="1" showInputMessage="1" showErrorMessage="1" sqref="J3:J49" xr:uid="{0C8D250E-E5E6-4F00-B595-E1322F9D6866}">
      <formula1>$C$3:$C$49</formula1>
    </dataValidation>
    <dataValidation type="list" allowBlank="1" showInputMessage="1" showErrorMessage="1" sqref="E3:E49" xr:uid="{D33B0AF1-7F81-4AC6-A9B2-CD2FBDFEF634}">
      <formula1>$K$3:$K$49</formula1>
    </dataValidation>
  </dataValidations>
  <pageMargins left="0.7" right="0.7" top="0.75" bottom="0.75" header="0.3" footer="0.3"/>
  <tableParts count="6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7AD8-B357-4875-8276-C1D5D1AC37ED}">
  <sheetPr>
    <tabColor rgb="FFFFFF00"/>
    <outlinePr summaryBelow="0" summaryRight="0"/>
  </sheetPr>
  <dimension ref="B1:K20"/>
  <sheetViews>
    <sheetView workbookViewId="0">
      <selection activeCell="F14" sqref="F14"/>
    </sheetView>
  </sheetViews>
  <sheetFormatPr baseColWidth="10" defaultColWidth="12.7109375" defaultRowHeight="12.75"/>
  <cols>
    <col min="1" max="1" width="3.28515625" style="90" customWidth="1"/>
    <col min="2" max="2" width="10.85546875" style="90" bestFit="1" customWidth="1"/>
    <col min="3" max="3" width="20.28515625" style="90" bestFit="1" customWidth="1"/>
    <col min="4" max="4" width="19.5703125" style="90" bestFit="1" customWidth="1"/>
    <col min="5" max="5" width="16.28515625" style="90" customWidth="1"/>
    <col min="6" max="6" width="18.7109375" style="90" bestFit="1" customWidth="1"/>
    <col min="7" max="7" width="10.7109375" style="90" bestFit="1" customWidth="1"/>
    <col min="8" max="8" width="16.7109375" style="90" bestFit="1" customWidth="1"/>
    <col min="9" max="9" width="14.28515625" style="90" bestFit="1" customWidth="1"/>
    <col min="10" max="11" width="17.28515625" style="90" bestFit="1" customWidth="1"/>
    <col min="12" max="12" width="10.85546875" style="90" bestFit="1" customWidth="1"/>
    <col min="13" max="26" width="18.28515625" style="90" customWidth="1"/>
    <col min="27" max="16384" width="12.7109375" style="90"/>
  </cols>
  <sheetData>
    <row r="1" spans="2:11">
      <c r="B1" s="111" t="s">
        <v>2</v>
      </c>
      <c r="C1" s="93" t="s">
        <v>450</v>
      </c>
      <c r="D1" s="112" t="s">
        <v>408</v>
      </c>
      <c r="E1" s="93" t="s">
        <v>341</v>
      </c>
      <c r="F1" s="93" t="s">
        <v>448</v>
      </c>
      <c r="G1" s="93" t="s">
        <v>358</v>
      </c>
      <c r="H1" s="93" t="s">
        <v>407</v>
      </c>
      <c r="I1" s="93" t="s">
        <v>356</v>
      </c>
      <c r="J1" s="93" t="s">
        <v>355</v>
      </c>
      <c r="K1" s="93" t="s">
        <v>354</v>
      </c>
    </row>
    <row r="2" spans="2:11">
      <c r="B2" s="113" t="s">
        <v>406</v>
      </c>
      <c r="C2" s="114" t="s">
        <v>443</v>
      </c>
      <c r="D2" s="115" t="s">
        <v>405</v>
      </c>
      <c r="E2" s="92" t="s">
        <v>404</v>
      </c>
      <c r="F2" s="91" t="s">
        <v>403</v>
      </c>
      <c r="G2" s="116" t="s">
        <v>402</v>
      </c>
      <c r="H2" s="92" t="s">
        <v>483</v>
      </c>
      <c r="I2" s="91" t="s">
        <v>401</v>
      </c>
      <c r="J2" s="91" t="s">
        <v>6</v>
      </c>
      <c r="K2" s="91" t="s">
        <v>6</v>
      </c>
    </row>
    <row r="3" spans="2:11">
      <c r="B3" s="117" t="s">
        <v>400</v>
      </c>
      <c r="C3" s="118" t="s">
        <v>444</v>
      </c>
      <c r="D3" s="115" t="s">
        <v>399</v>
      </c>
      <c r="E3" s="92" t="s">
        <v>398</v>
      </c>
      <c r="F3" s="91" t="s">
        <v>397</v>
      </c>
      <c r="G3" s="119" t="s">
        <v>396</v>
      </c>
      <c r="H3" s="92" t="s">
        <v>484</v>
      </c>
      <c r="I3" s="91" t="s">
        <v>395</v>
      </c>
      <c r="J3" s="91" t="s">
        <v>394</v>
      </c>
      <c r="K3" s="91" t="s">
        <v>394</v>
      </c>
    </row>
    <row r="4" spans="2:11">
      <c r="B4" s="120" t="s">
        <v>393</v>
      </c>
      <c r="C4" s="121" t="s">
        <v>449</v>
      </c>
      <c r="D4" s="115" t="s">
        <v>392</v>
      </c>
      <c r="E4" s="92" t="s">
        <v>391</v>
      </c>
      <c r="F4" s="91" t="s">
        <v>390</v>
      </c>
      <c r="G4" s="122" t="s">
        <v>389</v>
      </c>
      <c r="H4" s="114" t="s">
        <v>440</v>
      </c>
      <c r="I4" s="91" t="s">
        <v>388</v>
      </c>
      <c r="J4" s="91" t="s">
        <v>387</v>
      </c>
      <c r="K4" s="91" t="s">
        <v>387</v>
      </c>
    </row>
    <row r="5" spans="2:11">
      <c r="C5" s="123" t="s">
        <v>445</v>
      </c>
      <c r="D5" s="115" t="s">
        <v>386</v>
      </c>
      <c r="E5" s="92" t="s">
        <v>385</v>
      </c>
      <c r="F5" s="91" t="s">
        <v>384</v>
      </c>
      <c r="H5" s="114" t="s">
        <v>431</v>
      </c>
      <c r="J5" s="91" t="s">
        <v>83</v>
      </c>
      <c r="K5" s="91" t="s">
        <v>83</v>
      </c>
    </row>
    <row r="6" spans="2:11">
      <c r="C6" s="116" t="s">
        <v>446</v>
      </c>
      <c r="D6" s="115" t="s">
        <v>383</v>
      </c>
      <c r="H6" s="118" t="s">
        <v>432</v>
      </c>
      <c r="J6" s="91" t="s">
        <v>0</v>
      </c>
      <c r="K6" s="91" t="s">
        <v>0</v>
      </c>
    </row>
    <row r="7" spans="2:11">
      <c r="B7" s="124"/>
      <c r="C7" s="119" t="s">
        <v>447</v>
      </c>
      <c r="D7" s="115" t="s">
        <v>382</v>
      </c>
      <c r="H7" s="118" t="s">
        <v>433</v>
      </c>
      <c r="J7" s="91" t="s">
        <v>381</v>
      </c>
      <c r="K7" s="91" t="s">
        <v>381</v>
      </c>
    </row>
    <row r="8" spans="2:11">
      <c r="B8" s="124"/>
      <c r="C8" s="124"/>
      <c r="D8" s="91" t="s">
        <v>380</v>
      </c>
      <c r="H8" s="118" t="s">
        <v>442</v>
      </c>
      <c r="K8" s="91" t="s">
        <v>379</v>
      </c>
    </row>
    <row r="9" spans="2:11">
      <c r="B9" s="124"/>
      <c r="C9" s="124"/>
      <c r="D9" s="125" t="s">
        <v>359</v>
      </c>
      <c r="H9" s="118" t="s">
        <v>434</v>
      </c>
      <c r="K9" s="91" t="s">
        <v>71</v>
      </c>
    </row>
    <row r="10" spans="2:11">
      <c r="B10" s="124"/>
      <c r="C10" s="124"/>
      <c r="D10" s="91" t="s">
        <v>378</v>
      </c>
      <c r="H10" s="118" t="s">
        <v>435</v>
      </c>
      <c r="K10" s="91" t="s">
        <v>377</v>
      </c>
    </row>
    <row r="11" spans="2:11">
      <c r="B11" s="124"/>
      <c r="C11" s="124"/>
      <c r="D11" s="91" t="s">
        <v>376</v>
      </c>
      <c r="H11" s="121" t="s">
        <v>436</v>
      </c>
    </row>
    <row r="12" spans="2:11">
      <c r="B12" s="124"/>
      <c r="C12" s="124"/>
      <c r="D12" s="91" t="s">
        <v>375</v>
      </c>
      <c r="H12" s="123" t="s">
        <v>437</v>
      </c>
    </row>
    <row r="13" spans="2:11">
      <c r="B13" s="124"/>
      <c r="C13" s="124"/>
      <c r="D13" s="91" t="s">
        <v>374</v>
      </c>
      <c r="H13" s="116" t="s">
        <v>438</v>
      </c>
    </row>
    <row r="14" spans="2:11">
      <c r="B14" s="124"/>
      <c r="C14" s="124"/>
      <c r="D14" s="91" t="s">
        <v>373</v>
      </c>
      <c r="H14" s="122" t="s">
        <v>441</v>
      </c>
    </row>
    <row r="15" spans="2:11">
      <c r="B15" s="124"/>
      <c r="C15" s="124"/>
      <c r="D15" s="91" t="s">
        <v>372</v>
      </c>
      <c r="H15" s="126" t="s">
        <v>430</v>
      </c>
    </row>
    <row r="16" spans="2:11">
      <c r="B16" s="124"/>
      <c r="C16" s="124"/>
      <c r="D16" s="91" t="s">
        <v>371</v>
      </c>
      <c r="H16" s="126" t="s">
        <v>439</v>
      </c>
    </row>
    <row r="17" spans="4:4">
      <c r="D17" s="91" t="s">
        <v>370</v>
      </c>
    </row>
    <row r="18" spans="4:4">
      <c r="D18" s="91" t="s">
        <v>369</v>
      </c>
    </row>
    <row r="19" spans="4:4">
      <c r="D19" s="91" t="s">
        <v>368</v>
      </c>
    </row>
    <row r="20" spans="4:4">
      <c r="D20" s="91" t="s">
        <v>367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DESARROLLADOR</vt:lpstr>
      <vt:lpstr>DESARROLLOS</vt:lpstr>
      <vt:lpstr>TIPOLOGIAS</vt:lpstr>
      <vt:lpstr>DESARROLLOS (2)</vt:lpstr>
      <vt:lpstr>TIPOLOGÍAS</vt:lpstr>
      <vt:lpstr>LANDING</vt:lpstr>
      <vt:lpstr>PROSPECTOS</vt:lpstr>
      <vt:lpstr>DOCUMENTOS</vt:lpstr>
      <vt:lpstr>VISTAS Y USUARIOS</vt:lpstr>
      <vt:lpstr>ABAJO en la LANDING</vt:lpstr>
      <vt:lpstr>Con Prom.</vt:lpstr>
      <vt:lpstr>CAT Propiedades</vt:lpstr>
      <vt:lpstr>CAT Prospectos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Ramos</dc:creator>
  <cp:lastModifiedBy>RICARDO RAMOS</cp:lastModifiedBy>
  <cp:lastPrinted>2022-09-13T23:03:02Z</cp:lastPrinted>
  <dcterms:created xsi:type="dcterms:W3CDTF">2022-05-16T23:30:29Z</dcterms:created>
  <dcterms:modified xsi:type="dcterms:W3CDTF">2026-01-23T05:23:37Z</dcterms:modified>
</cp:coreProperties>
</file>